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S-02" sheetId="3" state="visible" r:id="rId3"/>
    <sheet xmlns:r="http://schemas.openxmlformats.org/officeDocument/2006/relationships" name="TS-05" sheetId="4" state="visible" r:id="rId4"/>
    <sheet xmlns:r="http://schemas.openxmlformats.org/officeDocument/2006/relationships" name="Truy vết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Checklist" sheetId="7" state="visible" r:id="rId7"/>
  </sheets>
  <definedNames>
    <definedName name="_xlnm._FilterDatabase" localSheetId="1" hidden="1">'Test Cases'!$A$1:$P$24</definedName>
    <definedName name="_xlnm.Print_Titles" localSheetId="1">'Test Cases'!$1:$1</definedName>
    <definedName name="_xlnm._FilterDatabase" localSheetId="2" hidden="1">'TS-02'!$A$9:$L$13</definedName>
    <definedName name="_xlnm._FilterDatabase" localSheetId="3" hidden="1">'TS-05'!$A$9:$L$14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b val="1"/>
      <color rgb="001F4E79"/>
      <sz val="13"/>
    </font>
    <font>
      <b val="1"/>
    </font>
    <font>
      <b val="1"/>
      <color rgb="001F4E79"/>
    </font>
    <font>
      <i val="1"/>
    </font>
    <font>
      <b val="1"/>
      <color rgb="001F4E79"/>
      <sz val="12"/>
    </font>
    <font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C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 style="thin">
        <color rgb="00A6A6A6"/>
      </left>
      <right style="thin">
        <color rgb="00A6A6A6"/>
      </right>
      <top/>
      <bottom style="medium">
        <color rgb="001F4E7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3" fillId="0" borderId="6" applyAlignment="1" pivotButton="0" quotePrefix="0" xfId="0">
      <alignment horizontal="center" vertical="top" wrapText="1"/>
    </xf>
    <xf numFmtId="0" fontId="3" fillId="0" borderId="6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6" applyAlignment="1" pivotButton="0" quotePrefix="0" xfId="0">
      <alignment horizontal="center" vertical="top" wrapText="1"/>
    </xf>
    <xf numFmtId="0" fontId="3" fillId="3" borderId="6" applyAlignment="1" pivotButton="0" quotePrefix="0" xfId="0">
      <alignment vertical="top" wrapText="1"/>
    </xf>
    <xf numFmtId="0" fontId="0" fillId="0" borderId="3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bottom" textRotation="90"/>
    </xf>
    <xf numFmtId="0" fontId="1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Tài Liệu Thiết Kế Test Case — Hệ Thống EShop (4 Tính Năng HW02)</t>
        </is>
      </c>
    </row>
    <row r="3">
      <c r="A3" s="2" t="inlineStr">
        <is>
          <t>Mã tài liệu</t>
        </is>
      </c>
      <c r="B3" s="3" t="inlineStr">
        <is>
          <t>TCD-ESHOP-HW02-4FEAT</t>
        </is>
      </c>
    </row>
    <row r="4">
      <c r="A4" s="2" t="inlineStr">
        <is>
          <t>Dự án / Hệ thống</t>
        </is>
      </c>
      <c r="B4" s="3" t="inlineStr">
        <is>
          <t>EShop SUT</t>
        </is>
      </c>
    </row>
    <row r="5">
      <c r="A5" s="2" t="inlineStr">
        <is>
          <t>Chức năng</t>
        </is>
      </c>
      <c r="B5" s="3" t="inlineStr">
        <is>
          <t>4 Tính Năng Bắt Buộc: FR-06 (Chi tiết SP), FR-11 (Lịch sử đơn), FR-15 (CRUD Sản phẩm Admin), Lịch sử đơn hàng Mobile</t>
        </is>
      </c>
    </row>
    <row r="6">
      <c r="A6" s="2" t="inlineStr">
        <is>
          <t>Phiên bản</t>
        </is>
      </c>
      <c r="B6" s="3" t="inlineStr">
        <is>
          <t>1.0</t>
        </is>
      </c>
    </row>
    <row r="7">
      <c r="A7" s="2" t="inlineStr">
        <is>
          <t>Ngày</t>
        </is>
      </c>
      <c r="B7" s="3" t="inlineStr">
        <is>
          <t>2026-10-17</t>
        </is>
      </c>
    </row>
    <row r="8">
      <c r="A8" s="2" t="inlineStr">
        <is>
          <t>Người viết</t>
        </is>
      </c>
      <c r="B8" s="3" t="inlineStr">
        <is>
          <t>Sinh viên Kiểm thử Phần mềm (23120321)</t>
        </is>
      </c>
    </row>
    <row r="9">
      <c r="A9" s="2" t="inlineStr">
        <is>
          <t>Người duyệt</t>
        </is>
      </c>
      <c r="B9" s="3" t="inlineStr">
        <is>
          <t>Giảng viên &amp; QA Lead</t>
        </is>
      </c>
    </row>
    <row r="10">
      <c r="A10" s="2" t="inlineStr">
        <is>
          <t>Phiên bản phần mềm được test</t>
        </is>
      </c>
      <c r="B10" s="3" t="inlineStr">
        <is>
          <t>EShop v2.0 (React Web, React Admin, React Native Expo, Node Express, SQLite)</t>
        </is>
      </c>
    </row>
    <row r="11">
      <c r="A11" s="2" t="inlineStr">
        <is>
          <t>Môi trường</t>
        </is>
      </c>
      <c r="B11" s="3" t="inlineStr">
        <is>
          <t>Chrome 129 trên Windows 11; Expo Go trên Android 14; Node.js v20 cổng 3000</t>
        </is>
      </c>
    </row>
    <row r="13">
      <c r="A13" s="4" t="inlineStr">
        <is>
          <t>Theo trạng thái</t>
        </is>
      </c>
    </row>
    <row r="14">
      <c r="A14" s="2" t="inlineStr">
        <is>
          <t>Not run</t>
        </is>
      </c>
      <c r="B14" s="3">
        <f>COUNTIF('Test Cases'!$M$2:$M$24,"Not run")+COUNTIF('TS-02'!$K$10:$K$13,"Not run")+COUNTIF('TS-05'!$K$10:$K$14,"Not run")</f>
        <v/>
      </c>
    </row>
    <row r="15">
      <c r="A15" s="2" t="inlineStr">
        <is>
          <t>Pass</t>
        </is>
      </c>
      <c r="B15" s="3">
        <f>COUNTIF('Test Cases'!$M$2:$M$24,"Pass")+COUNTIF('TS-02'!$K$10:$K$13,"Pass")+COUNTIF('TS-05'!$K$10:$K$14,"Pass")</f>
        <v/>
      </c>
    </row>
    <row r="16">
      <c r="A16" s="2" t="inlineStr">
        <is>
          <t>Fail</t>
        </is>
      </c>
      <c r="B16" s="3">
        <f>COUNTIF('Test Cases'!$M$2:$M$24,"Fail")+COUNTIF('TS-02'!$K$10:$K$13,"Fail")+COUNTIF('TS-05'!$K$10:$K$14,"Fail")</f>
        <v/>
      </c>
    </row>
    <row r="17">
      <c r="A17" s="2" t="inlineStr">
        <is>
          <t>Blocked</t>
        </is>
      </c>
      <c r="B17" s="3">
        <f>COUNTIF('Test Cases'!$M$2:$M$24,"Blocked")+COUNTIF('TS-02'!$K$10:$K$13,"Blocked")+COUNTIF('TS-05'!$K$10:$K$14,"Blocked")</f>
        <v/>
      </c>
    </row>
    <row r="18">
      <c r="A18" s="2" t="inlineStr">
        <is>
          <t>Skipped</t>
        </is>
      </c>
      <c r="B18" s="3">
        <f>COUNTIF('Test Cases'!$M$2:$M$24,"Skipped")+COUNTIF('TS-02'!$K$10:$K$13,"Skipped")+COUNTIF('TS-05'!$K$10:$K$14,"Skipped")</f>
        <v/>
      </c>
    </row>
    <row r="19">
      <c r="A19" s="2" t="inlineStr">
        <is>
          <t>Tổng số test case</t>
        </is>
      </c>
      <c r="B19" s="5">
        <f>SUM(B14:B18)</f>
        <v/>
      </c>
    </row>
    <row r="21">
      <c r="A21" s="4" t="inlineStr">
        <is>
          <t>Tổng hợp test case</t>
        </is>
      </c>
    </row>
    <row r="22">
      <c r="A22" s="2" t="inlineStr">
        <is>
          <t>TS-01</t>
        </is>
      </c>
      <c r="B22" s="3" t="inlineStr">
        <is>
          <t>Pool A — FR-06: Xem Chi Tiết Sản Phẩm &amp; Thao Tác Thêm Giỏ Hàng — Từng bước (step-by-step) — 2 TC</t>
        </is>
      </c>
    </row>
    <row r="23">
      <c r="A23" s="2" t="inlineStr">
        <is>
          <t>TS-02</t>
        </is>
      </c>
      <c r="B23" s="3" t="inlineStr">
        <is>
          <t>Pool A — FR-06: Ma Trận Phân Tích Giá Trị Biên Ô Nhập Số Lượng — Ma trận dữ liệu (data matrix) — 4 TC</t>
        </is>
      </c>
    </row>
    <row r="24">
      <c r="A24" s="2" t="inlineStr">
        <is>
          <t>TS-03</t>
        </is>
      </c>
      <c r="B24" s="3" t="inlineStr">
        <is>
          <t>Pool B — FR-11: Xem Lịch Sử Đơn Hàng &amp; Thao Tác Hủy Đơn — Từng bước (step-by-step) — 3 TC</t>
        </is>
      </c>
    </row>
    <row r="25">
      <c r="A25" s="2" t="inlineStr">
        <is>
          <t>TS-04</t>
        </is>
      </c>
      <c r="B25" s="3" t="inlineStr">
        <is>
          <t>Pool C — FR-15: Quản Lý Sản Phẩm CRUD Trong Web Admin — Từng bước (step-by-step) — 2 TC</t>
        </is>
      </c>
    </row>
    <row r="26">
      <c r="A26" s="2" t="inlineStr">
        <is>
          <t>TS-05</t>
        </is>
      </c>
      <c r="B26" s="3" t="inlineStr">
        <is>
          <t>Pool C — FR-15: Ma Trận Phân Tích Giá Trị Biên Cho Tên &amp; Giá Sản Phẩm Admin — Ma trận dữ liệu (data matrix) — 5 TC</t>
        </is>
      </c>
    </row>
    <row r="27">
      <c r="A27" s="2" t="inlineStr">
        <is>
          <t>TS-06</t>
        </is>
      </c>
      <c r="B27" s="3" t="inlineStr">
        <is>
          <t>Pool D — Mobile: Lịch Sử Đơn Hàng Trong Môi Trường Di Động — Từng bước (step-by-step) — 4 TC</t>
        </is>
      </c>
    </row>
    <row r="29">
      <c r="A29" s="4" t="inlineStr">
        <is>
          <t>Quy ước đặt tên và trình bày</t>
        </is>
      </c>
    </row>
    <row r="30">
      <c r="A30" t="inlineStr">
        <is>
          <t>• Mã test case: TC-&lt;MÔ-ĐUN&gt;-&lt;số thứ tự 2–3 chữ số&gt;, ví dụ TC-LOGIN-003.</t>
        </is>
      </c>
    </row>
    <row r="31">
      <c r="A31" t="inlineStr">
        <is>
          <t>• Tiêu đề theo cú pháp Hành động + Chức năng + Điều kiện (Action + Function + Condition).</t>
        </is>
      </c>
    </row>
    <row r="32">
      <c r="A32" t="inlineStr">
        <is>
          <t>• Mỗi test case một mục tiêu, dữ liệu cụ thể, kết quả mong đợi kiểm chứng được.</t>
        </is>
      </c>
    </row>
    <row r="33">
      <c r="A33" t="inlineStr">
        <is>
          <t>• Trạng thái: Not run / Pass / Fail / Blocked / Skipped.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9" customWidth="1" min="4" max="4"/>
    <col width="11" customWidth="1" min="5" max="5"/>
    <col width="28" customWidth="1" min="6" max="6"/>
    <col width="18" customWidth="1" min="7" max="7"/>
    <col width="4" customWidth="1" min="8" max="8"/>
    <col width="36" customWidth="1" min="9" max="9"/>
    <col width="36" customWidth="1" min="10" max="10"/>
    <col width="22" customWidth="1" min="11" max="11"/>
    <col width="20" customWidth="1" min="12" max="12"/>
    <col width="10" customWidth="1" min="13" max="13"/>
    <col width="10" customWidth="1" min="14" max="14"/>
    <col width="18" customWidth="1" min="15" max="15"/>
    <col width="8" customWidth="1" min="16" max="16"/>
  </cols>
  <sheetData>
    <row r="1" ht="30" customHeight="1">
      <c r="A1" s="6" t="inlineStr">
        <is>
          <t>ID</t>
        </is>
      </c>
      <c r="B1" s="6" t="inlineStr">
        <is>
          <t>Tiêu đề</t>
        </is>
      </c>
      <c r="C1" s="6" t="inlineStr">
        <is>
          <t>Truy vết yêu cầu</t>
        </is>
      </c>
      <c r="D1" s="6" t="inlineStr">
        <is>
          <t>Ưu tiên</t>
        </is>
      </c>
      <c r="E1" s="6" t="inlineStr">
        <is>
          <t>Loại</t>
        </is>
      </c>
      <c r="F1" s="6" t="inlineStr">
        <is>
          <t>Thiết lập / Tiền điều kiện</t>
        </is>
      </c>
      <c r="G1" s="6" t="inlineStr">
        <is>
          <t>Dữ liệu test</t>
        </is>
      </c>
      <c r="H1" s="6" t="inlineStr">
        <is>
          <t>#</t>
        </is>
      </c>
      <c r="I1" s="6" t="inlineStr">
        <is>
          <t>Hành động</t>
        </is>
      </c>
      <c r="J1" s="6" t="inlineStr">
        <is>
          <t>Kết quả mong đợi</t>
        </is>
      </c>
      <c r="K1" s="6" t="inlineStr">
        <is>
          <t>Dọn dẹp (self-cleaning)</t>
        </is>
      </c>
      <c r="L1" s="6" t="inlineStr">
        <is>
          <t>Kết quả thực tế</t>
        </is>
      </c>
      <c r="M1" s="6" t="inlineStr">
        <is>
          <t>Trạng thái</t>
        </is>
      </c>
      <c r="N1" s="6" t="inlineStr">
        <is>
          <t>Mã lỗi</t>
        </is>
      </c>
      <c r="O1" s="6" t="inlineStr">
        <is>
          <t>Ghi chú</t>
        </is>
      </c>
      <c r="P1" s="6" t="inlineStr">
        <is>
          <t>Bộ test</t>
        </is>
      </c>
    </row>
    <row r="2" ht="46" customHeight="1">
      <c r="A2" s="5" t="inlineStr">
        <is>
          <t>TC-PROD-001</t>
        </is>
      </c>
      <c r="B2" s="3" t="inlineStr">
        <is>
          <t>Kiểm tra hiển thị đầy đủ thông tin sản phẩm và breadcrumb tại trang chi tiết</t>
        </is>
      </c>
      <c r="C2" s="3" t="inlineStr">
        <is>
          <t>FR-06</t>
        </is>
      </c>
      <c r="D2" s="7" t="inlineStr">
        <is>
          <t>High</t>
        </is>
      </c>
      <c r="E2" s="3" t="inlineStr">
        <is>
          <t>Positive</t>
        </is>
      </c>
      <c r="F2" s="3" t="inlineStr">
        <is>
          <t>Mở trình duyệt Chrome 129 tại trang chủ http://localhost:5173
Sản phẩm ID = 1 ('iPhone 15 Pro Max', giá 30.000.000 ₫, danh mục 'Điện thoại') tồn tại trong SQLite</t>
        </is>
      </c>
      <c r="G2" s="3" t="inlineStr">
        <is>
          <t>Product ID = 1</t>
        </is>
      </c>
      <c r="H2" s="7" t="n">
        <v>1</v>
      </c>
      <c r="I2" s="3" t="inlineStr">
        <is>
          <t>Nhấn vào thẻ sản phẩm 'iPhone 15 Pro Max' trên trang chủ</t>
        </is>
      </c>
      <c r="J2" s="3" t="inlineStr">
        <is>
          <t>Chuyển hướng đến URL /products/1; hiển thị ảnh lớn, tên sản phẩm 'iPhone 15 Pro Max', giá '30.000.000 ₫'</t>
        </is>
      </c>
      <c r="K2" s="3" t="inlineStr">
        <is>
          <t>Quay trở lại trang chủ</t>
        </is>
      </c>
      <c r="L2" s="3" t="inlineStr"/>
      <c r="M2" s="7" t="inlineStr">
        <is>
          <t>Not run</t>
        </is>
      </c>
      <c r="N2" s="3" t="inlineStr"/>
      <c r="O2" s="3" t="inlineStr">
        <is>
          <t>Kiểm tra xem SUT có mắc lỗi thiếu hiển thị danh mục và thiếu breadcrumb hay không.</t>
        </is>
      </c>
      <c r="P2" s="7" t="inlineStr">
        <is>
          <t>TS-01</t>
        </is>
      </c>
    </row>
    <row r="3" ht="88" customHeight="1">
      <c r="A3" s="8" t="n"/>
      <c r="B3" s="8" t="n"/>
      <c r="C3" s="8" t="n"/>
      <c r="D3" s="8" t="n"/>
      <c r="E3" s="8" t="n"/>
      <c r="F3" s="8" t="n"/>
      <c r="G3" s="8" t="n"/>
      <c r="H3" s="9" t="n">
        <v>2</v>
      </c>
      <c r="I3" s="10" t="inlineStr">
        <is>
          <t>Kiểm tra sự xuất hiện của tên danh mục 'Điện thoại' và thanh Breadcrumb</t>
        </is>
      </c>
      <c r="J3" s="10" t="inlineStr">
        <is>
          <t>Hiển thị nhãn danh mục 'Điện thoại'; có thanh Breadcrumb 'Trang chủ &gt; Điện thoại &gt; iPhone 15 Pro Max'
⇒ Giao diện hiển thị đầy đủ ảnh, tên, giá, mô tả, danh mục và breadcrumb theo đúng chuẩn FR-06 và FR-23.</t>
        </is>
      </c>
      <c r="K3" s="8" t="n"/>
      <c r="L3" s="8" t="n"/>
      <c r="M3" s="8" t="n"/>
      <c r="N3" s="8" t="n"/>
      <c r="O3" s="8" t="n"/>
      <c r="P3" s="8" t="n"/>
    </row>
    <row r="4" ht="46" customHeight="1">
      <c r="A4" s="11" t="inlineStr">
        <is>
          <t>TC-PROD-002</t>
        </is>
      </c>
      <c r="B4" s="12" t="inlineStr">
        <is>
          <t>Kiểm tra nút Thêm vào giỏ hàng hoạt động khi người dùng nhấn lần đầu tiên</t>
        </is>
      </c>
      <c r="C4" s="12" t="inlineStr">
        <is>
          <t>FR-06</t>
        </is>
      </c>
      <c r="D4" s="13" t="inlineStr">
        <is>
          <t>High</t>
        </is>
      </c>
      <c r="E4" s="12" t="inlineStr">
        <is>
          <t>Positive</t>
        </is>
      </c>
      <c r="F4" s="12" t="inlineStr">
        <is>
          <t>Đang ở trang chi tiết /products/1 với giỏ hàng rỗng (badge = 0)
Ô số lượng đang để mặc định là 1</t>
        </is>
      </c>
      <c r="G4" s="12" t="inlineStr">
        <is>
          <t>Số lượng = 1</t>
        </is>
      </c>
      <c r="H4" s="13" t="n">
        <v>1</v>
      </c>
      <c r="I4" s="12" t="inlineStr">
        <is>
          <t>Nhấn nút 'Thêm vào giỏ hàng' đúng 1 lần duy nhất</t>
        </is>
      </c>
      <c r="J4" s="12" t="inlineStr">
        <is>
          <t>Nút hiển thị trạng thái 'Đã thêm'; badge giỏ hàng trên navbar lập tức tăng từ 0 lên 1</t>
        </is>
      </c>
      <c r="K4" s="12" t="inlineStr">
        <is>
          <t>Bấm nút xóa sản phẩm trong giỏ hàng để hoàn trả môi trường sạch</t>
        </is>
      </c>
      <c r="L4" s="12" t="inlineStr"/>
      <c r="M4" s="13" t="inlineStr">
        <is>
          <t>Not run</t>
        </is>
      </c>
      <c r="N4" s="12" t="inlineStr"/>
      <c r="O4" s="12" t="inlineStr">
        <is>
          <t>Bắt lỗi clickCount === 0 return trong ProductDetail.jsx.</t>
        </is>
      </c>
      <c r="P4" s="13" t="inlineStr">
        <is>
          <t>TS-01</t>
        </is>
      </c>
    </row>
    <row r="5" ht="74" customHeight="1">
      <c r="A5" s="8" t="n"/>
      <c r="B5" s="8" t="n"/>
      <c r="C5" s="8" t="n"/>
      <c r="D5" s="8" t="n"/>
      <c r="E5" s="8" t="n"/>
      <c r="F5" s="8" t="n"/>
      <c r="G5" s="8" t="n"/>
      <c r="H5" s="14" t="n">
        <v>2</v>
      </c>
      <c r="I5" s="15" t="inlineStr">
        <is>
          <t>Nhấn vào icon Giỏ hàng trên thanh navbar</t>
        </is>
      </c>
      <c r="J5" s="15" t="inlineStr">
        <is>
          <t>Trang Giỏ hàng hiển thị 1 sản phẩm iPhone 15 Pro Max với số lượng 1
⇒ Sản phẩm được thêm vào giỏ ngay lần nhấn đầu tiên; không đòi hỏi người dùng phải bấm đúp chuột.</t>
        </is>
      </c>
      <c r="K5" s="8" t="n"/>
      <c r="L5" s="8" t="n"/>
      <c r="M5" s="8" t="n"/>
      <c r="N5" s="8" t="n"/>
      <c r="O5" s="8" t="n"/>
      <c r="P5" s="8" t="n"/>
    </row>
    <row r="6" ht="32" customHeight="1">
      <c r="A6" s="5" t="inlineStr">
        <is>
          <t>TC-ORDER-001</t>
        </is>
      </c>
      <c r="B6" s="3" t="inlineStr">
        <is>
          <t>Kiểm tra hiển thị danh sách đơn hàng và cách ly dữ liệu cá nhân khi người dùng truy cập trang Profile</t>
        </is>
      </c>
      <c r="C6" s="3" t="inlineStr">
        <is>
          <t>FR-11</t>
        </is>
      </c>
      <c r="D6" s="7" t="inlineStr">
        <is>
          <t>High</t>
        </is>
      </c>
      <c r="E6" s="3" t="inlineStr">
        <is>
          <t>Positive</t>
        </is>
      </c>
      <c r="F6" s="3" t="inlineStr">
        <is>
          <t>Đăng nhập tài khoản test@eshop.com (User ID = 2)
CSDL SQLite có 2 đơn của user ID 2 và 1 đơn của user ID 1 (Admin)</t>
        </is>
      </c>
      <c r="G6" s="3" t="inlineStr">
        <is>
          <t>User ID = 2</t>
        </is>
      </c>
      <c r="H6" s="7" t="n">
        <v>1</v>
      </c>
      <c r="I6" s="3" t="inlineStr">
        <is>
          <t>Nhấn vào tab 'Hồ sơ' trên thanh navbar</t>
        </is>
      </c>
      <c r="J6" s="3" t="inlineStr">
        <is>
          <t>Chuyển hướng đến /profile; khu vực 'Lịch sử đơn hàng' hiển thị danh sách đơn</t>
        </is>
      </c>
      <c r="K6" s="3" t="inlineStr">
        <is>
          <t>Đăng xuất khỏi hệ thống</t>
        </is>
      </c>
      <c r="L6" s="3" t="inlineStr"/>
      <c r="M6" s="7" t="inlineStr">
        <is>
          <t>Not run</t>
        </is>
      </c>
      <c r="N6" s="3" t="inlineStr"/>
      <c r="O6" s="3" t="inlineStr"/>
      <c r="P6" s="7" t="inlineStr">
        <is>
          <t>TS-03</t>
        </is>
      </c>
    </row>
    <row r="7" ht="116" customHeight="1">
      <c r="A7" s="8" t="n"/>
      <c r="B7" s="8" t="n"/>
      <c r="C7" s="8" t="n"/>
      <c r="D7" s="8" t="n"/>
      <c r="E7" s="8" t="n"/>
      <c r="F7" s="8" t="n"/>
      <c r="G7" s="8" t="n"/>
      <c r="H7" s="9" t="n">
        <v>2</v>
      </c>
      <c r="I7" s="10" t="inlineStr">
        <is>
          <t>Quan sát các cột thông tin trong bảng lịch sử đơn hàng</t>
        </is>
      </c>
      <c r="J7" s="10" t="inlineStr">
        <is>
          <t>Chỉ hiển thị các đơn của User ID 2; mỗi dòng có mã đơn #id, ngày đặt, tổng tiền định dạng '₫', trạng thái dịch tiếng Việt có màu sắc tương ứng
⇒ Dữ liệu được cách ly tuyệt đối; không hiển thị đơn hàng của tài khoản khác; giao diện hiển thị đúng định dạng tiền tệ và nhãn trạng thái tiếng Việt.</t>
        </is>
      </c>
      <c r="K7" s="8" t="n"/>
      <c r="L7" s="8" t="n"/>
      <c r="M7" s="8" t="n"/>
      <c r="N7" s="8" t="n"/>
      <c r="O7" s="8" t="n"/>
      <c r="P7" s="8" t="n"/>
    </row>
    <row r="8" ht="32" customHeight="1">
      <c r="A8" s="11" t="inlineStr">
        <is>
          <t>TC-ORDER-002</t>
        </is>
      </c>
      <c r="B8" s="12" t="inlineStr">
        <is>
          <t>Kiểm tra hủy đơn hàng thành công khi đơn ở trạng thái pending (Chờ xác nhận)</t>
        </is>
      </c>
      <c r="C8" s="12" t="inlineStr">
        <is>
          <t>FR-11</t>
        </is>
      </c>
      <c r="D8" s="13" t="inlineStr">
        <is>
          <t>High</t>
        </is>
      </c>
      <c r="E8" s="12" t="inlineStr">
        <is>
          <t>Positive</t>
        </is>
      </c>
      <c r="F8" s="12" t="inlineStr">
        <is>
          <t>Đăng nhập tài khoản test@eshop.com
Có sẵn 1 đơn hàng ID #101 đang ở trạng thái 'pending'</t>
        </is>
      </c>
      <c r="G8" s="12" t="inlineStr">
        <is>
          <t>Order ID = 101, Status = 'pending'</t>
        </is>
      </c>
      <c r="H8" s="13" t="n">
        <v>1</v>
      </c>
      <c r="I8" s="12" t="inlineStr">
        <is>
          <t>Tại trang Profile, tìm dòng đơn hàng #101 và nhấn nút 'Hủy đơn'</t>
        </is>
      </c>
      <c r="J8" s="12" t="inlineStr">
        <is>
          <t>Hiển thị thông báo 'Hủy đơn thành công!'</t>
        </is>
      </c>
      <c r="K8" s="12" t="inlineStr">
        <is>
          <t>Không cần dọn dẹp (đơn đã ở trạng thái kết thúc canceled)</t>
        </is>
      </c>
      <c r="L8" s="12" t="inlineStr"/>
      <c r="M8" s="13" t="inlineStr">
        <is>
          <t>Not run</t>
        </is>
      </c>
      <c r="N8" s="12" t="inlineStr"/>
      <c r="O8" s="12" t="inlineStr"/>
      <c r="P8" s="13" t="inlineStr">
        <is>
          <t>TS-03</t>
        </is>
      </c>
    </row>
    <row r="9" ht="74" customHeight="1">
      <c r="A9" s="8" t="n"/>
      <c r="B9" s="8" t="n"/>
      <c r="C9" s="8" t="n"/>
      <c r="D9" s="8" t="n"/>
      <c r="E9" s="8" t="n"/>
      <c r="F9" s="8" t="n"/>
      <c r="G9" s="8" t="n"/>
      <c r="H9" s="14" t="n">
        <v>2</v>
      </c>
      <c r="I9" s="15" t="inlineStr">
        <is>
          <t>Quan sát lại trạng thái của đơn hàng #101 trong bảng</t>
        </is>
      </c>
      <c r="J9" s="15" t="inlineStr">
        <is>
          <t>Trạng thái đơn hàng chuyển sang 'Đã hủy' (màu đỏ); nút 'Hủy đơn' biến mất
⇒ Đơn hàng chuyển thành trạng thái 'canceled' trong CSDL SQLite; không cho phép thao tác hủy lần 2.</t>
        </is>
      </c>
      <c r="K9" s="8" t="n"/>
      <c r="L9" s="8" t="n"/>
      <c r="M9" s="8" t="n"/>
      <c r="N9" s="8" t="n"/>
      <c r="O9" s="8" t="n"/>
      <c r="P9" s="8" t="n"/>
    </row>
    <row r="10" ht="32" customHeight="1">
      <c r="A10" s="5" t="inlineStr">
        <is>
          <t>TC-ORDER-003</t>
        </is>
      </c>
      <c r="B10" s="3" t="inlineStr">
        <is>
          <t>Kiểm tra từ chối cho phép user hủy đơn khi đơn hàng đã chuyển sang shipping (Đang giao)</t>
        </is>
      </c>
      <c r="C10" s="3" t="inlineStr">
        <is>
          <t>FR-11</t>
        </is>
      </c>
      <c r="D10" s="7" t="inlineStr">
        <is>
          <t>High</t>
        </is>
      </c>
      <c r="E10" s="3" t="inlineStr">
        <is>
          <t>Security</t>
        </is>
      </c>
      <c r="F10" s="3" t="inlineStr">
        <is>
          <t>Đăng nhập tài khoản test@eshop.com
Có sẵn đơn hàng #102 có trạng thái status = 'shipping'</t>
        </is>
      </c>
      <c r="G10" s="3" t="inlineStr">
        <is>
          <t>Order ID = 102, Status = 'shipping'</t>
        </is>
      </c>
      <c r="H10" s="7" t="n">
        <v>1</v>
      </c>
      <c r="I10" s="3" t="inlineStr">
        <is>
          <t>Mở trang /profile và tìm đến đơn hàng #102 đang ở trạng thái 'Đang giao'</t>
        </is>
      </c>
      <c r="J10" s="3" t="inlineStr">
        <is>
          <t>Nút 'Hủy đơn' không được hiển thị cho đơn hàng này</t>
        </is>
      </c>
      <c r="K10" s="3" t="inlineStr">
        <is>
          <t>Giữ nguyên trạng thái đơn hàng để phục vụ kiểm thử Admin</t>
        </is>
      </c>
      <c r="L10" s="3" t="inlineStr"/>
      <c r="M10" s="7" t="inlineStr">
        <is>
          <t>Not run</t>
        </is>
      </c>
      <c r="N10" s="3" t="inlineStr"/>
      <c r="O10" s="3" t="inlineStr">
        <is>
          <t>Bắt lỗi nghiêm trọng trên SUT: Profile.jsx hiển thị nút hủy và server.js cho phép user hủy đơn shipping.</t>
        </is>
      </c>
      <c r="P10" s="7" t="inlineStr">
        <is>
          <t>TS-03</t>
        </is>
      </c>
    </row>
    <row r="11" ht="88" customHeight="1">
      <c r="A11" s="8" t="n"/>
      <c r="B11" s="8" t="n"/>
      <c r="C11" s="8" t="n"/>
      <c r="D11" s="8" t="n"/>
      <c r="E11" s="8" t="n"/>
      <c r="F11" s="8" t="n"/>
      <c r="G11" s="8" t="n"/>
      <c r="H11" s="9" t="n">
        <v>2</v>
      </c>
      <c r="I11" s="10" t="inlineStr">
        <is>
          <t>Nếu nút 'Hủy đơn' vẫn xuất hiện (lỗi UI), nhấn nút 'Hủy đơn' hoặc gửi request trực tiếp PUT /api/orders/102/cancel</t>
        </is>
      </c>
      <c r="J11" s="10" t="inlineStr">
        <is>
          <t>Backend từ chối yêu cầu với HTTP 400 hoặc 403; thông báo lỗi 'Cannot cancel this order'
⇒ Hệ thống chặn hoàn toàn thao tác hủy đơn từ User khi đơn đã giao vận; trạng thái trong CSDL giữ nguyên 'shipping'.</t>
        </is>
      </c>
      <c r="K11" s="8" t="n"/>
      <c r="L11" s="8" t="n"/>
      <c r="M11" s="8" t="n"/>
      <c r="N11" s="8" t="n"/>
      <c r="O11" s="8" t="n"/>
      <c r="P11" s="8" t="n"/>
    </row>
    <row r="12" ht="46" customHeight="1">
      <c r="A12" s="11" t="inlineStr">
        <is>
          <t>TC-ADM-PROD-001</t>
        </is>
      </c>
      <c r="B12" s="12" t="inlineStr">
        <is>
          <t>Kiểm tra Admin thêm mới sản phẩm thành công với dữ liệu hợp lệ</t>
        </is>
      </c>
      <c r="C12" s="12" t="inlineStr">
        <is>
          <t>FR-15</t>
        </is>
      </c>
      <c r="D12" s="13" t="inlineStr">
        <is>
          <t>High</t>
        </is>
      </c>
      <c r="E12" s="12" t="inlineStr">
        <is>
          <t>Positive</t>
        </is>
      </c>
      <c r="F12" s="12" t="inlineStr">
        <is>
          <t>Đăng nhập tài khoản admin@eshop.com trên Web Admin (http://localhost:5174)
Chuyển sang tab 'Sản phẩm'</t>
        </is>
      </c>
      <c r="G12" s="12" t="inlineStr">
        <is>
          <t>Tên = 'Bàn phím cơ EShop Pro', Giá = 1.500.000 ₫, Danh mục = 'Phụ kiện'</t>
        </is>
      </c>
      <c r="H12" s="13" t="n">
        <v>1</v>
      </c>
      <c r="I12" s="12" t="inlineStr">
        <is>
          <t>Điền 'Bàn phím cơ EShop Pro' vào ô Tên sản phẩm, '1500000' vào ô Giá, chọn danh mục 'Phụ kiện'</t>
        </is>
      </c>
      <c r="J12" s="12" t="inlineStr">
        <is>
          <t>Các ô nhập nhận đúng giá trị</t>
        </is>
      </c>
      <c r="K12" s="12" t="inlineStr">
        <is>
          <t>Bấm nút 'Xóa' tại dòng sản phẩm vừa tạo để khôi phục trạng thái sạch</t>
        </is>
      </c>
      <c r="L12" s="12" t="inlineStr"/>
      <c r="M12" s="13" t="inlineStr">
        <is>
          <t>Not run</t>
        </is>
      </c>
      <c r="N12" s="12" t="inlineStr"/>
      <c r="O12" s="12" t="inlineStr"/>
      <c r="P12" s="13" t="inlineStr">
        <is>
          <t>TS-04</t>
        </is>
      </c>
    </row>
    <row r="13" ht="88" customHeight="1">
      <c r="A13" s="8" t="n"/>
      <c r="B13" s="8" t="n"/>
      <c r="C13" s="8" t="n"/>
      <c r="D13" s="8" t="n"/>
      <c r="E13" s="8" t="n"/>
      <c r="F13" s="8" t="n"/>
      <c r="G13" s="8" t="n"/>
      <c r="H13" s="14" t="n">
        <v>2</v>
      </c>
      <c r="I13" s="15" t="inlineStr">
        <is>
          <t>Nhấn nút 'Lưu Sản Phẩm' (hoặc Thêm sản phẩm)</t>
        </is>
      </c>
      <c r="J13" s="15" t="inlineStr">
        <is>
          <t>Form được reset về rỗng; danh sách sản phẩm bên dưới xuất hiện thêm dòng 'Bàn phím cơ EShop Pro' với giá 1.500.000 ₫
⇒ Sản phẩm mới được lưu vào CSDL SQLite trong bảng products; xuất hiện đầy đủ trong danh sách quản trị.</t>
        </is>
      </c>
      <c r="K13" s="8" t="n"/>
      <c r="L13" s="8" t="n"/>
      <c r="M13" s="8" t="n"/>
      <c r="N13" s="8" t="n"/>
      <c r="O13" s="8" t="n"/>
      <c r="P13" s="8" t="n"/>
    </row>
    <row r="14" ht="32" customHeight="1">
      <c r="A14" s="5" t="inlineStr">
        <is>
          <t>TC-ADM-PROD-002</t>
        </is>
      </c>
      <c r="B14" s="3" t="inlineStr">
        <is>
          <t>Kiểm tra tính độc lập khi chỉnh sửa 1 sản phẩm không làm đổi tên các sản phẩm khác</t>
        </is>
      </c>
      <c r="C14" s="3" t="inlineStr">
        <is>
          <t>FR-15</t>
        </is>
      </c>
      <c r="D14" s="7" t="inlineStr">
        <is>
          <t>High</t>
        </is>
      </c>
      <c r="E14" s="3" t="inlineStr">
        <is>
          <t>Security</t>
        </is>
      </c>
      <c r="F14" s="3" t="inlineStr">
        <is>
          <t>Đăng nhập Web Admin; danh sách hiện có ít nhất 2 sản phẩm khác nhau: SP #1 ('iPhone 15 Pro Max') và SP #2 ('MacBook Pro M3')</t>
        </is>
      </c>
      <c r="G14" s="3" t="inlineStr">
        <is>
          <t>Sửa SP #1 thành 'iPhone 15 Pro Max (Đã Sửa)'</t>
        </is>
      </c>
      <c r="H14" s="7" t="n">
        <v>1</v>
      </c>
      <c r="I14" s="3" t="inlineStr">
        <is>
          <t>Nhấn nút 'Sửa' tại dòng sản phẩm #1</t>
        </is>
      </c>
      <c r="J14" s="3" t="inlineStr">
        <is>
          <t>Dữ liệu SP #1 được load lên form chỉnh sửa</t>
        </is>
      </c>
      <c r="K14" s="3" t="inlineStr">
        <is>
          <t>Sửa lại tên sản phẩm #1 về giá trị ban đầu</t>
        </is>
      </c>
      <c r="L14" s="3" t="inlineStr"/>
      <c r="M14" s="7" t="inlineStr">
        <is>
          <t>Not run</t>
        </is>
      </c>
      <c r="N14" s="3" t="inlineStr"/>
      <c r="O14" s="3" t="inlineStr">
        <is>
          <t>Bắt lỗi mass-update bug tại App.jsx dòng 110-114 của frontend-admin.</t>
        </is>
      </c>
      <c r="P14" s="7" t="inlineStr">
        <is>
          <t>TS-04</t>
        </is>
      </c>
    </row>
    <row r="15" ht="32" customHeight="1">
      <c r="A15" s="16" t="n"/>
      <c r="B15" s="16" t="n"/>
      <c r="C15" s="16" t="n"/>
      <c r="D15" s="16" t="n"/>
      <c r="E15" s="16" t="n"/>
      <c r="F15" s="16" t="n"/>
      <c r="G15" s="16" t="n"/>
      <c r="H15" s="7" t="n">
        <v>2</v>
      </c>
      <c r="I15" s="3" t="inlineStr">
        <is>
          <t>Đổi tên thành 'iPhone 15 Pro Max (Đã Sửa)' và nhấn 'Lưu Sản Phẩm'</t>
        </is>
      </c>
      <c r="J15" s="3" t="inlineStr">
        <is>
          <t>Hiển thị thông báo cập nhật thành công; chỉ có sản phẩm #1 đổi tên</t>
        </is>
      </c>
      <c r="K15" s="16" t="n"/>
      <c r="L15" s="16" t="n"/>
      <c r="M15" s="16" t="n"/>
      <c r="N15" s="16" t="n"/>
      <c r="O15" s="16" t="n"/>
      <c r="P15" s="16" t="n"/>
    </row>
    <row r="16" ht="88" customHeight="1">
      <c r="A16" s="8" t="n"/>
      <c r="B16" s="8" t="n"/>
      <c r="C16" s="8" t="n"/>
      <c r="D16" s="8" t="n"/>
      <c r="E16" s="8" t="n"/>
      <c r="F16" s="8" t="n"/>
      <c r="G16" s="8" t="n"/>
      <c r="H16" s="9" t="n">
        <v>3</v>
      </c>
      <c r="I16" s="10" t="inlineStr">
        <is>
          <t>Quan sát tên của sản phẩm #2 ('MacBook Pro M3') trong bảng</t>
        </is>
      </c>
      <c r="J16" s="10" t="inlineStr">
        <is>
          <t>Sản phẩm #2 vẫn giữ nguyên tên 'MacBook Pro M3', KHÔNG bị biến thành 'iPhone 15 Pro Max (Đã Sửa)'
⇒ Chỉ duy nhất sản phẩm được chọn bị thay đổi; các sản phẩm khác trong danh sách không bị tác động.</t>
        </is>
      </c>
      <c r="K16" s="8" t="n"/>
      <c r="L16" s="8" t="n"/>
      <c r="M16" s="8" t="n"/>
      <c r="N16" s="8" t="n"/>
      <c r="O16" s="8" t="n"/>
      <c r="P16" s="8" t="n"/>
    </row>
    <row r="17" ht="32" customHeight="1">
      <c r="A17" s="11" t="inlineStr">
        <is>
          <t>TC-MOB-ORD-001</t>
        </is>
      </c>
      <c r="B17" s="12" t="inlineStr">
        <is>
          <t>Kiểm tra hiển thị danh sách đơn hàng và trạng thái tiếng Việt khi người dùng đăng nhập trên Mobile</t>
        </is>
      </c>
      <c r="C17" s="12" t="inlineStr">
        <is>
          <t>FR-20</t>
        </is>
      </c>
      <c r="D17" s="13" t="inlineStr">
        <is>
          <t>High</t>
        </is>
      </c>
      <c r="E17" s="12" t="inlineStr">
        <is>
          <t>Positive</t>
        </is>
      </c>
      <c r="F17" s="12" t="inlineStr">
        <is>
          <t>Mở ứng dụng EShop trên Expo Go (Android hoặc iOS)
Đã đăng nhập tài khoản test@eshop.com</t>
        </is>
      </c>
      <c r="G17" s="12" t="inlineStr">
        <is>
          <t>Tài khoản test@eshop.com</t>
        </is>
      </c>
      <c r="H17" s="13" t="n">
        <v>1</v>
      </c>
      <c r="I17" s="12" t="inlineStr">
        <is>
          <t>Nhấn vào tab 'Hồ sơ' tại thanh điều hướng của ứng dụng di động</t>
        </is>
      </c>
      <c r="J17" s="12" t="inlineStr">
        <is>
          <t>Màn hình chuyển sang Profile; cuộn xuống phần 'Lịch sử đơn hàng'</t>
        </is>
      </c>
      <c r="K17" s="12" t="inlineStr">
        <is>
          <t>Không cần dọn dẹp</t>
        </is>
      </c>
      <c r="L17" s="12" t="inlineStr"/>
      <c r="M17" s="13" t="inlineStr">
        <is>
          <t>Not run</t>
        </is>
      </c>
      <c r="N17" s="12" t="inlineStr"/>
      <c r="O17" s="12" t="inlineStr"/>
      <c r="P17" s="13" t="inlineStr">
        <is>
          <t>TS-06</t>
        </is>
      </c>
    </row>
    <row r="18" ht="116" customHeight="1">
      <c r="A18" s="8" t="n"/>
      <c r="B18" s="8" t="n"/>
      <c r="C18" s="8" t="n"/>
      <c r="D18" s="8" t="n"/>
      <c r="E18" s="8" t="n"/>
      <c r="F18" s="8" t="n"/>
      <c r="G18" s="8" t="n"/>
      <c r="H18" s="14" t="n">
        <v>2</v>
      </c>
      <c r="I18" s="15" t="inlineStr">
        <is>
          <t>Quan sát từng thẻ đơn hàng hiển thị trên màn hình</t>
        </is>
      </c>
      <c r="J18" s="15" t="inlineStr">
        <is>
          <t>Hiển thị thẻ Đơn #id, Ngày đặt (định dạng toLocaleDateString), Tổng tiền (định dạng formatMoney có '₫'), Trạng thái hiển thị tiếng Việt rõ ràng
⇒ Giao diện hiển thị rõ ràng, nằm trọn trong vùng an toàn (Safe Area), không bị tràn viền hay che khuất bởi tai thỏ (Notch).</t>
        </is>
      </c>
      <c r="K18" s="8" t="n"/>
      <c r="L18" s="8" t="n"/>
      <c r="M18" s="8" t="n"/>
      <c r="N18" s="8" t="n"/>
      <c r="O18" s="8" t="n"/>
      <c r="P18" s="8" t="n"/>
    </row>
    <row r="19" ht="32" customHeight="1">
      <c r="A19" s="5" t="inlineStr">
        <is>
          <t>TC-MOB-ORD-002</t>
        </is>
      </c>
      <c r="B19" s="3" t="inlineStr">
        <is>
          <t>Kiểm tra nút Hủy đơn trên Mobile tự động ẩn khi đơn hàng ở trạng thái shipping</t>
        </is>
      </c>
      <c r="C19" s="3" t="inlineStr">
        <is>
          <t>FR-20</t>
        </is>
      </c>
      <c r="D19" s="7" t="inlineStr">
        <is>
          <t>High</t>
        </is>
      </c>
      <c r="E19" s="3" t="inlineStr">
        <is>
          <t>Positive</t>
        </is>
      </c>
      <c r="F19" s="3" t="inlineStr">
        <is>
          <t>Tài khoản test@eshop.com có 1 đơn hàng #101 ('pending') và 1 đơn hàng #102 ('shipping')
Đang mở màn hình Lịch sử đơn hàng trên Mobile</t>
        </is>
      </c>
      <c r="G19" s="3" t="inlineStr">
        <is>
          <t>Đơn #101 (pending), Đơn #102 (shipping)</t>
        </is>
      </c>
      <c r="H19" s="7" t="n">
        <v>1</v>
      </c>
      <c r="I19" s="3" t="inlineStr">
        <is>
          <t>Quan sát thẻ đơn hàng #101 (trạng thái 'Chờ xác nhận')</t>
        </is>
      </c>
      <c r="J19" s="3" t="inlineStr">
        <is>
          <t>Nút màu đỏ 'Hủy đơn' hiển thị rõ ràng</t>
        </is>
      </c>
      <c r="K19" s="3" t="inlineStr">
        <is>
          <t>Không cần dọn dẹp</t>
        </is>
      </c>
      <c r="L19" s="3" t="inlineStr"/>
      <c r="M19" s="7" t="inlineStr">
        <is>
          <t>Not run</t>
        </is>
      </c>
      <c r="N19" s="3" t="inlineStr"/>
      <c r="O19" s="3" t="inlineStr">
        <is>
          <t>Minh chứng so sánh đối chiếu giữa Web (bị lỗi) và Mobile (đã ẩn nút).</t>
        </is>
      </c>
      <c r="P19" s="7" t="inlineStr">
        <is>
          <t>TS-06</t>
        </is>
      </c>
    </row>
    <row r="20" ht="74" customHeight="1">
      <c r="A20" s="8" t="n"/>
      <c r="B20" s="8" t="n"/>
      <c r="C20" s="8" t="n"/>
      <c r="D20" s="8" t="n"/>
      <c r="E20" s="8" t="n"/>
      <c r="F20" s="8" t="n"/>
      <c r="G20" s="8" t="n"/>
      <c r="H20" s="9" t="n">
        <v>2</v>
      </c>
      <c r="I20" s="10" t="inlineStr">
        <is>
          <t>Quan sát thẻ đơn hàng #102 (trạng thái 'Đang giao')</t>
        </is>
      </c>
      <c r="J20" s="10" t="inlineStr">
        <is>
          <t>Nút 'Hủy đơn' KHÔNG xuất hiện (được ẩn hoàn toàn)
⇒ Mobile tuân thủ nghiêm ngặt máy trạng thái FR-10; đối chiếu cho thấy tính nhất quán cao hơn so với phiên bản Web.</t>
        </is>
      </c>
      <c r="K20" s="8" t="n"/>
      <c r="L20" s="8" t="n"/>
      <c r="M20" s="8" t="n"/>
      <c r="N20" s="8" t="n"/>
      <c r="O20" s="8" t="n"/>
      <c r="P20" s="8" t="n"/>
    </row>
    <row r="21" ht="32" customHeight="1">
      <c r="A21" s="11" t="inlineStr">
        <is>
          <t>TC-MOB-ORD-003</t>
        </is>
      </c>
      <c r="B21" s="12" t="inlineStr">
        <is>
          <t>Kiểm tra xử lý lỗi khi mất kết nối mạng trong màn hình Lịch sử đơn hàng trên Mobile</t>
        </is>
      </c>
      <c r="C21" s="12" t="inlineStr">
        <is>
          <t>FR-20</t>
        </is>
      </c>
      <c r="D21" s="13" t="inlineStr">
        <is>
          <t>High</t>
        </is>
      </c>
      <c r="E21" s="12" t="inlineStr">
        <is>
          <t>Negative</t>
        </is>
      </c>
      <c r="F21" s="12" t="inlineStr">
        <is>
          <t>Đang đăng nhập tài khoản test@eshop.com trên Mobile và đã có 2 đơn hàng trong CSDL</t>
        </is>
      </c>
      <c r="G21" s="12" t="inlineStr">
        <is>
          <t>Ngắt kết nối Wi-Fi / Tắt server Backend</t>
        </is>
      </c>
      <c r="H21" s="13" t="n">
        <v>1</v>
      </c>
      <c r="I21" s="12" t="inlineStr">
        <is>
          <t>Bật chế độ máy bay (Airplane Mode) trên thiết bị di động hoặc ngắt mạng Wi-Fi</t>
        </is>
      </c>
      <c r="J21" s="12" t="inlineStr">
        <is>
          <t>Thiết bị mất hoàn toàn kết nối Internet tới Backend</t>
        </is>
      </c>
      <c r="K21" s="12" t="inlineStr">
        <is>
          <t>Bật lại kết nối Wi-Fi để khôi phục hoạt động bình thường</t>
        </is>
      </c>
      <c r="L21" s="12" t="inlineStr"/>
      <c r="M21" s="13" t="inlineStr">
        <is>
          <t>Not run</t>
        </is>
      </c>
      <c r="N21" s="12" t="inlineStr"/>
      <c r="O21" s="12" t="inlineStr">
        <is>
          <t>Bắt lỗi tại App.js dòng 180-183 khi catch error lại setOrders([]) gây hiển thị nhầm 'Bạn chưa có đơn hàng nào.'</t>
        </is>
      </c>
      <c r="P21" s="13" t="inlineStr">
        <is>
          <t>TS-06</t>
        </is>
      </c>
    </row>
    <row r="22" ht="88" customHeight="1">
      <c r="A22" s="8" t="n"/>
      <c r="B22" s="8" t="n"/>
      <c r="C22" s="8" t="n"/>
      <c r="D22" s="8" t="n"/>
      <c r="E22" s="8" t="n"/>
      <c r="F22" s="8" t="n"/>
      <c r="G22" s="8" t="n"/>
      <c r="H22" s="14" t="n">
        <v>2</v>
      </c>
      <c r="I22" s="15" t="inlineStr">
        <is>
          <t>Nhấn chuyển sang tab 'Hồ sơ' để ứng dụng kích hoạt gọi fetchOrders</t>
        </is>
      </c>
      <c r="J22" s="15" t="inlineStr">
        <is>
          <t>Hệ thống phải hiển thị thông báo: 'Không thể kết nối máy chủ. Vui lòng kiểm tra mạng' kèm nút 'Thử lại' (Retry)
⇒ Ứng dụng phân biệt rõ ràng giữa lỗi kết nối mạng và trường hợp người dùng chưa từng mua hàng (empty state).</t>
        </is>
      </c>
      <c r="K22" s="8" t="n"/>
      <c r="L22" s="8" t="n"/>
      <c r="M22" s="8" t="n"/>
      <c r="N22" s="8" t="n"/>
      <c r="O22" s="8" t="n"/>
      <c r="P22" s="8" t="n"/>
    </row>
    <row r="23" ht="46" customHeight="1">
      <c r="A23" s="5" t="inlineStr">
        <is>
          <t>TC-MOB-ORD-004</t>
        </is>
      </c>
      <c r="B23" s="3" t="inlineStr">
        <is>
          <t>Kiểm tra hỗ trợ thao tác vuốt để làm mới (Pull-to-refresh) tại danh sách đơn hàng Mobile</t>
        </is>
      </c>
      <c r="C23" s="3" t="inlineStr">
        <is>
          <t>FR-20</t>
        </is>
      </c>
      <c r="D23" s="7" t="inlineStr">
        <is>
          <t>Medium</t>
        </is>
      </c>
      <c r="E23" s="3" t="inlineStr">
        <is>
          <t>Positive</t>
        </is>
      </c>
      <c r="F23" s="3" t="inlineStr">
        <is>
          <t>Đang ở màn hình Profile trên Mobile với danh sách đơn hàng
Admin vừa cập nhật đơn hàng của user từ 'pending' sang 'confirmed' trên Web Admin</t>
        </is>
      </c>
      <c r="G23" s="3" t="inlineStr">
        <is>
          <t>Thao tác vuốt xuống (Pull-to-refresh)</t>
        </is>
      </c>
      <c r="H23" s="7" t="n">
        <v>1</v>
      </c>
      <c r="I23" s="3" t="inlineStr">
        <is>
          <t>Dùng ngón tay vuốt từ trên đỉnh màn hình danh sách đơn hàng xuống dưới</t>
        </is>
      </c>
      <c r="J23" s="3" t="inlineStr">
        <is>
          <t>Xuất hiện biểu tượng loading xoay tròn (RefreshControl) báo hiệu đang cập nhật dữ liệu</t>
        </is>
      </c>
      <c r="K23" s="3" t="inlineStr">
        <is>
          <t>Không cần dọn dẹp</t>
        </is>
      </c>
      <c r="L23" s="3" t="inlineStr"/>
      <c r="M23" s="7" t="inlineStr">
        <is>
          <t>Not run</t>
        </is>
      </c>
      <c r="N23" s="3" t="inlineStr"/>
      <c r="O23" s="3" t="inlineStr">
        <is>
          <t>Kiểm tra xem ScrollView trong App.js có prop refreshControl hay bị thiếu.</t>
        </is>
      </c>
      <c r="P23" s="7" t="inlineStr">
        <is>
          <t>TS-06</t>
        </is>
      </c>
    </row>
    <row r="24" ht="88" customHeight="1">
      <c r="A24" s="8" t="n"/>
      <c r="B24" s="8" t="n"/>
      <c r="C24" s="8" t="n"/>
      <c r="D24" s="8" t="n"/>
      <c r="E24" s="8" t="n"/>
      <c r="F24" s="8" t="n"/>
      <c r="G24" s="8" t="n"/>
      <c r="H24" s="9" t="n">
        <v>2</v>
      </c>
      <c r="I24" s="10" t="inlineStr">
        <is>
          <t>Thả tay ra và chờ ứng dụng hoàn tất fetchOrders</t>
        </is>
      </c>
      <c r="J24" s="10" t="inlineStr">
        <is>
          <t>Trạng thái đơn hàng lập tức cập nhật từ 'Chờ xác nhận' sang 'Đã xác nhận' mà không cần phải thoát màn hình hoặc đăng nhập lại
⇒ Hỗ trợ chuẩn thao tác vuốt làm mới đặc thù của nền tảng di động.</t>
        </is>
      </c>
      <c r="K24" s="8" t="n"/>
      <c r="L24" s="8" t="n"/>
      <c r="M24" s="8" t="n"/>
      <c r="N24" s="8" t="n"/>
      <c r="O24" s="8" t="n"/>
      <c r="P24" s="8" t="n"/>
    </row>
  </sheetData>
  <autoFilter ref="A1:P24"/>
  <mergeCells count="143">
    <mergeCell ref="E8:E9"/>
    <mergeCell ref="G8:G9"/>
    <mergeCell ref="B12:B13"/>
    <mergeCell ref="L12:L13"/>
    <mergeCell ref="D21:D22"/>
    <mergeCell ref="N12:N13"/>
    <mergeCell ref="P6:P7"/>
    <mergeCell ref="E23:E24"/>
    <mergeCell ref="N21:N22"/>
    <mergeCell ref="C10:C11"/>
    <mergeCell ref="P21:P22"/>
    <mergeCell ref="E10:E11"/>
    <mergeCell ref="M14:M16"/>
    <mergeCell ref="G10:G11"/>
    <mergeCell ref="O14:O16"/>
    <mergeCell ref="B23:B24"/>
    <mergeCell ref="P23:P24"/>
    <mergeCell ref="L4:L5"/>
    <mergeCell ref="A2:A3"/>
    <mergeCell ref="C2:C3"/>
    <mergeCell ref="P14:P16"/>
    <mergeCell ref="B6:B7"/>
    <mergeCell ref="E2:E3"/>
    <mergeCell ref="M17:M18"/>
    <mergeCell ref="O17:O18"/>
    <mergeCell ref="D8:D9"/>
    <mergeCell ref="O19:O20"/>
    <mergeCell ref="D10:D11"/>
    <mergeCell ref="E12:E13"/>
    <mergeCell ref="G12:G13"/>
    <mergeCell ref="E21:E22"/>
    <mergeCell ref="G21:G22"/>
    <mergeCell ref="K6:K7"/>
    <mergeCell ref="C6:C7"/>
    <mergeCell ref="G23:G24"/>
    <mergeCell ref="C4:C5"/>
    <mergeCell ref="E4:E5"/>
    <mergeCell ref="B17:B18"/>
    <mergeCell ref="O4:O5"/>
    <mergeCell ref="G14:G16"/>
    <mergeCell ref="D17:D18"/>
    <mergeCell ref="N2:N3"/>
    <mergeCell ref="A14:A16"/>
    <mergeCell ref="K14:K16"/>
    <mergeCell ref="P2:P3"/>
    <mergeCell ref="F2:F3"/>
    <mergeCell ref="M10:M11"/>
    <mergeCell ref="D12:D13"/>
    <mergeCell ref="K2:K3"/>
    <mergeCell ref="A21:A22"/>
    <mergeCell ref="A8:A9"/>
    <mergeCell ref="C8:C9"/>
    <mergeCell ref="A17:A18"/>
    <mergeCell ref="K17:K18"/>
    <mergeCell ref="M21:M22"/>
    <mergeCell ref="C17:C18"/>
    <mergeCell ref="M8:M9"/>
    <mergeCell ref="O8:O9"/>
    <mergeCell ref="L6:L7"/>
    <mergeCell ref="O2:O3"/>
    <mergeCell ref="A23:A24"/>
    <mergeCell ref="N6:N7"/>
    <mergeCell ref="L21:L22"/>
    <mergeCell ref="A10:A11"/>
    <mergeCell ref="M23:M24"/>
    <mergeCell ref="A19:A20"/>
    <mergeCell ref="K19:K20"/>
    <mergeCell ref="O23:O24"/>
    <mergeCell ref="C19:C20"/>
    <mergeCell ref="O10:O11"/>
    <mergeCell ref="F4:F5"/>
    <mergeCell ref="B14:B16"/>
    <mergeCell ref="D23:D24"/>
    <mergeCell ref="L14:L16"/>
    <mergeCell ref="F10:F11"/>
    <mergeCell ref="N14:N16"/>
    <mergeCell ref="P10:P11"/>
    <mergeCell ref="B8:B9"/>
    <mergeCell ref="B2:B3"/>
    <mergeCell ref="A6:A7"/>
    <mergeCell ref="D2:D3"/>
    <mergeCell ref="F21:F22"/>
    <mergeCell ref="F8:F9"/>
    <mergeCell ref="A12:A13"/>
    <mergeCell ref="N17:N18"/>
    <mergeCell ref="C12:C13"/>
    <mergeCell ref="F17:F18"/>
    <mergeCell ref="P17:P18"/>
    <mergeCell ref="C21:C22"/>
    <mergeCell ref="G6:G7"/>
    <mergeCell ref="M12:M13"/>
    <mergeCell ref="O12:O13"/>
    <mergeCell ref="F23:F24"/>
    <mergeCell ref="O21:O22"/>
    <mergeCell ref="N19:N20"/>
    <mergeCell ref="P19:P20"/>
    <mergeCell ref="C23:C24"/>
    <mergeCell ref="A4:A5"/>
    <mergeCell ref="K8:K9"/>
    <mergeCell ref="K4:K5"/>
    <mergeCell ref="P12:P13"/>
    <mergeCell ref="C14:C16"/>
    <mergeCell ref="E14:E16"/>
    <mergeCell ref="K10:K11"/>
    <mergeCell ref="B4:B5"/>
    <mergeCell ref="N4:N5"/>
    <mergeCell ref="P4:P5"/>
    <mergeCell ref="D6:D7"/>
    <mergeCell ref="G2:G3"/>
    <mergeCell ref="B21:B22"/>
    <mergeCell ref="F6:F7"/>
    <mergeCell ref="E17:E18"/>
    <mergeCell ref="G17:G18"/>
    <mergeCell ref="K21:K22"/>
    <mergeCell ref="F12:F13"/>
    <mergeCell ref="M2:M3"/>
    <mergeCell ref="E19:E20"/>
    <mergeCell ref="G19:G20"/>
    <mergeCell ref="D14:D16"/>
    <mergeCell ref="F14:F16"/>
    <mergeCell ref="L8:L9"/>
    <mergeCell ref="D4:D5"/>
    <mergeCell ref="N8:N9"/>
    <mergeCell ref="P8:P9"/>
    <mergeCell ref="K12:K13"/>
    <mergeCell ref="M6:M7"/>
    <mergeCell ref="E6:E7"/>
    <mergeCell ref="B10:B11"/>
    <mergeCell ref="L23:L24"/>
    <mergeCell ref="N23:N24"/>
    <mergeCell ref="B19:B20"/>
    <mergeCell ref="L10:L11"/>
    <mergeCell ref="N10:N11"/>
    <mergeCell ref="K23:K24"/>
    <mergeCell ref="G4:G5"/>
    <mergeCell ref="L2:L3"/>
    <mergeCell ref="D19:D20"/>
    <mergeCell ref="M4:M5"/>
    <mergeCell ref="F19:F20"/>
    <mergeCell ref="L17:L18"/>
    <mergeCell ref="M19:M20"/>
    <mergeCell ref="O6:O7"/>
    <mergeCell ref="L19:L20"/>
  </mergeCells>
  <conditionalFormatting sqref="M2:M2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M2:M2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1" customWidth="1" min="4" max="4"/>
    <col width="11" customWidth="1" min="5" max="5"/>
    <col width="30" customWidth="1" min="6" max="6"/>
    <col width="18" customWidth="1" min="7" max="7"/>
    <col width="11" customWidth="1" min="8" max="8"/>
    <col width="9" customWidth="1" min="9" max="9"/>
    <col width="20" customWidth="1" min="10" max="10"/>
    <col width="10" customWidth="1" min="11" max="11"/>
    <col width="10" customWidth="1" min="12" max="12"/>
  </cols>
  <sheetData>
    <row r="1">
      <c r="A1" s="17" t="inlineStr">
        <is>
          <t>TS-02 — Pool A — FR-06: Ma Trận Phân Tích Giá Trị Biên Ô Nhập Số Lượng</t>
        </is>
      </c>
    </row>
    <row r="2">
      <c r="A2" s="18" t="inlineStr">
        <is>
          <t>Kiểm thử các giá trị biên 2-value / 3-value cho ô nhập số lượng sản phẩm tại trang ProductDetail (FR-06: số nguyên dương &gt;= 1).</t>
        </is>
      </c>
    </row>
    <row r="3">
      <c r="A3" s="19" t="inlineStr">
        <is>
          <t>Thiết lập / Tiền điều kiện</t>
        </is>
      </c>
      <c r="B3" s="18" t="inlineStr">
        <is>
          <t>Đang ở trang chi tiết sản phẩm /products/1 trên Chrome 129; Giỏ hàng ban đầu đang rỗng</t>
        </is>
      </c>
    </row>
    <row r="4">
      <c r="A4" s="20" t="inlineStr">
        <is>
          <t>Quy trình chung (áp dụng cho mọi dòng)</t>
        </is>
      </c>
    </row>
    <row r="5">
      <c r="A5" t="inlineStr">
        <is>
          <t>1. Nhập giá trị tại cột 'Số Lượng Nhập' vào ô số lượng  →  Ô số lượng ghi nhận giá trị</t>
        </is>
      </c>
    </row>
    <row r="6">
      <c r="A6" t="inlineStr">
        <is>
          <t>2. Nhấn nút 'Thêm vào giỏ hàng'  →  Hệ thống phản hồi đúng như cột 'Kết Quả Mong Đợi'</t>
        </is>
      </c>
    </row>
    <row r="7">
      <c r="A7" s="21" t="inlineStr">
        <is>
          <t>Dọn dẹp (self-cleaning): Xóa sản phẩm khỏi giỏ hàng sau mỗi ca kiểm thử thành công</t>
        </is>
      </c>
    </row>
    <row r="9" ht="30" customHeight="1">
      <c r="A9" s="6" t="inlineStr">
        <is>
          <t>ID</t>
        </is>
      </c>
      <c r="B9" s="6" t="inlineStr">
        <is>
          <t>Tiêu đề</t>
        </is>
      </c>
      <c r="C9" s="6" t="inlineStr">
        <is>
          <t>Số Lượng Nhập</t>
        </is>
      </c>
      <c r="D9" s="6" t="inlineStr">
        <is>
          <t>Kỹ Thuật Kiểm Thử</t>
        </is>
      </c>
      <c r="E9" s="6" t="inlineStr">
        <is>
          <t>Loại Lớp Phân Hoạch</t>
        </is>
      </c>
      <c r="F9" s="6" t="inlineStr">
        <is>
          <t>Kết quả mong đợi</t>
        </is>
      </c>
      <c r="G9" s="6" t="inlineStr">
        <is>
          <t>Bao phủ</t>
        </is>
      </c>
      <c r="H9" s="6" t="inlineStr">
        <is>
          <t>Truy vết yêu cầu</t>
        </is>
      </c>
      <c r="I9" s="6" t="inlineStr">
        <is>
          <t>Ưu tiên</t>
        </is>
      </c>
      <c r="J9" s="6" t="inlineStr">
        <is>
          <t>Kết quả thực tế</t>
        </is>
      </c>
      <c r="K9" s="6" t="inlineStr">
        <is>
          <t>Trạng thái</t>
        </is>
      </c>
      <c r="L9" s="6" t="inlineStr">
        <is>
          <t>Mã lỗi</t>
        </is>
      </c>
    </row>
    <row r="10" ht="46" customHeight="1">
      <c r="A10" s="5" t="inlineStr">
        <is>
          <t>TC-PROD-010</t>
        </is>
      </c>
      <c r="B10" s="3" t="inlineStr">
        <is>
          <t>Kiểm tra ô số lượng khi nhập giá trị 0 (ngay dưới biên tối thiểu 1)</t>
        </is>
      </c>
      <c r="C10" s="7" t="inlineStr">
        <is>
          <t>0</t>
        </is>
      </c>
      <c r="D10" s="7" t="inlineStr">
        <is>
          <t>Boundary Value (min - 1)</t>
        </is>
      </c>
      <c r="E10" s="7" t="inlineStr">
        <is>
          <t>Invalid Class</t>
        </is>
      </c>
      <c r="F10" s="3" t="inlineStr">
        <is>
          <t>Bị từ chối thêm vào giỏ; báo lỗi yêu cầu số lượng tối thiểu là 1; giỏ hàng giữ nguyên 0 sản phẩm</t>
        </is>
      </c>
      <c r="G10" s="3" t="inlineStr">
        <is>
          <t>Biên dưới (Boundary - 1) của ô số lượng (FR-06)</t>
        </is>
      </c>
      <c r="H10" s="3" t="inlineStr">
        <is>
          <t>FR-06</t>
        </is>
      </c>
      <c r="I10" s="3" t="inlineStr">
        <is>
          <t>High</t>
        </is>
      </c>
      <c r="J10" s="3" t="inlineStr"/>
      <c r="K10" s="7" t="inlineStr">
        <is>
          <t>Not run</t>
        </is>
      </c>
      <c r="L10" s="3" t="inlineStr"/>
    </row>
    <row r="11" ht="32" customHeight="1">
      <c r="A11" s="11" t="inlineStr">
        <is>
          <t>TC-PROD-011</t>
        </is>
      </c>
      <c r="B11" s="12" t="inlineStr">
        <is>
          <t>Kiểm tra ô số lượng khi nhập giá trị 1 (chính xác trên biên tối thiểu 1)</t>
        </is>
      </c>
      <c r="C11" s="13" t="inlineStr">
        <is>
          <t>1</t>
        </is>
      </c>
      <c r="D11" s="13" t="inlineStr">
        <is>
          <t>Boundary Value (min)</t>
        </is>
      </c>
      <c r="E11" s="13" t="inlineStr">
        <is>
          <t>Valid Class</t>
        </is>
      </c>
      <c r="F11" s="12" t="inlineStr">
        <is>
          <t>Chấp nhận thêm vào giỏ hàng; badge giỏ hàng cập nhật tăng 1 đơn vị</t>
        </is>
      </c>
      <c r="G11" s="12" t="inlineStr">
        <is>
          <t>Biên chính xác (Boundary) của ô số lượng (FR-06)</t>
        </is>
      </c>
      <c r="H11" s="12" t="inlineStr">
        <is>
          <t>FR-06</t>
        </is>
      </c>
      <c r="I11" s="12" t="inlineStr">
        <is>
          <t>High</t>
        </is>
      </c>
      <c r="J11" s="12" t="inlineStr"/>
      <c r="K11" s="13" t="inlineStr">
        <is>
          <t>Not run</t>
        </is>
      </c>
      <c r="L11" s="12" t="inlineStr"/>
    </row>
    <row r="12" ht="32" customHeight="1">
      <c r="A12" s="5" t="inlineStr">
        <is>
          <t>TC-PROD-012</t>
        </is>
      </c>
      <c r="B12" s="3" t="inlineStr">
        <is>
          <t>Kiểm tra ô số lượng khi nhập giá trị 2 (ngay trên biên tối thiểu 1)</t>
        </is>
      </c>
      <c r="C12" s="7" t="inlineStr">
        <is>
          <t>2</t>
        </is>
      </c>
      <c r="D12" s="7" t="inlineStr">
        <is>
          <t>Boundary Value (min + 1)</t>
        </is>
      </c>
      <c r="E12" s="7" t="inlineStr">
        <is>
          <t>Valid Class</t>
        </is>
      </c>
      <c r="F12" s="3" t="inlineStr">
        <is>
          <t>Chấp nhận thêm vào giỏ hàng; badge giỏ hàng cập nhật tăng 2 đơn vị</t>
        </is>
      </c>
      <c r="G12" s="3" t="inlineStr">
        <is>
          <t>Biên trên liền kề (Boundary + 1) của ô số lượng (FR-06)</t>
        </is>
      </c>
      <c r="H12" s="3" t="inlineStr">
        <is>
          <t>FR-06</t>
        </is>
      </c>
      <c r="I12" s="3" t="inlineStr">
        <is>
          <t>High</t>
        </is>
      </c>
      <c r="J12" s="3" t="inlineStr"/>
      <c r="K12" s="7" t="inlineStr">
        <is>
          <t>Not run</t>
        </is>
      </c>
      <c r="L12" s="3" t="inlineStr"/>
    </row>
    <row r="13" ht="46" customHeight="1">
      <c r="A13" s="11" t="inlineStr">
        <is>
          <t>TC-PROD-013</t>
        </is>
      </c>
      <c r="B13" s="12" t="inlineStr">
        <is>
          <t>Kiểm tra ô số lượng khi nhập giá trị âm (-1)</t>
        </is>
      </c>
      <c r="C13" s="13" t="inlineStr">
        <is>
          <t>-1</t>
        </is>
      </c>
      <c r="D13" s="13" t="inlineStr">
        <is>
          <t>Equivalence Partitioning (Negative)</t>
        </is>
      </c>
      <c r="E13" s="13" t="inlineStr">
        <is>
          <t>Invalid Class</t>
        </is>
      </c>
      <c r="F13" s="12" t="inlineStr">
        <is>
          <t>Bị từ chối thêm vào giỏ; báo lỗi số lượng không được âm; giỏ hàng không thay đổi</t>
        </is>
      </c>
      <c r="G13" s="12" t="inlineStr">
        <is>
          <t>Lớp không hợp lệ số âm của ô số lượng (FR-06)</t>
        </is>
      </c>
      <c r="H13" s="12" t="inlineStr">
        <is>
          <t>FR-06</t>
        </is>
      </c>
      <c r="I13" s="12" t="inlineStr">
        <is>
          <t>High</t>
        </is>
      </c>
      <c r="J13" s="12" t="inlineStr"/>
      <c r="K13" s="13" t="inlineStr">
        <is>
          <t>Not run</t>
        </is>
      </c>
      <c r="L13" s="12" t="inlineStr"/>
    </row>
  </sheetData>
  <autoFilter ref="A9:L13"/>
  <conditionalFormatting sqref="K10:K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K10:K13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1" customWidth="1" min="4" max="4"/>
    <col width="11" customWidth="1" min="5" max="5"/>
    <col width="30" customWidth="1" min="6" max="6"/>
    <col width="18" customWidth="1" min="7" max="7"/>
    <col width="11" customWidth="1" min="8" max="8"/>
    <col width="9" customWidth="1" min="9" max="9"/>
    <col width="20" customWidth="1" min="10" max="10"/>
    <col width="10" customWidth="1" min="11" max="11"/>
    <col width="10" customWidth="1" min="12" max="12"/>
  </cols>
  <sheetData>
    <row r="1">
      <c r="A1" s="17" t="inlineStr">
        <is>
          <t>TS-05 — Pool C — FR-15: Ma Trận Phân Tích Giá Trị Biên Cho Tên &amp; Giá Sản Phẩm Admin</t>
        </is>
      </c>
    </row>
    <row r="2">
      <c r="A2" s="18" t="inlineStr">
        <is>
          <t>Kiểm thử các giá trị biên 2-value và 3-value cho Tên sản phẩm (độ dài tối đa 255 ký tự) và Giá sản phẩm (phải là số dương &gt; 0) theo FR-15.</t>
        </is>
      </c>
    </row>
    <row r="3">
      <c r="A3" s="19" t="inlineStr">
        <is>
          <t>Thiết lập / Tiền điều kiện</t>
        </is>
      </c>
      <c r="B3" s="18" t="inlineStr">
        <is>
          <t>Đăng nhập Web Admin (http://localhost:5174); Đang mở form Thêm sản phẩm mới</t>
        </is>
      </c>
    </row>
    <row r="4">
      <c r="A4" s="20" t="inlineStr">
        <is>
          <t>Quy trình chung (áp dụng cho mọi dòng)</t>
        </is>
      </c>
    </row>
    <row r="5">
      <c r="A5" t="inlineStr">
        <is>
          <t>1. Nhập giá trị tại cột 'Tên Sản Phẩm' và 'Giá Sản Phẩm' vào form  →  Form nhận giá trị tương ứng</t>
        </is>
      </c>
    </row>
    <row r="6">
      <c r="A6" t="inlineStr">
        <is>
          <t>2. Chọn danh mục 'Phụ kiện' và nhấn nút 'Lưu Sản Phẩm'  →  Hệ thống phản hồi đúng như cột 'Kết Quả Mong Đợi'</t>
        </is>
      </c>
    </row>
    <row r="7">
      <c r="A7" s="21" t="inlineStr">
        <is>
          <t>Dọn dẹp (self-cleaning): Xóa sản phẩm vừa tạo trong CSDL nếu ca kiểm thử tạo thành công</t>
        </is>
      </c>
    </row>
    <row r="9" ht="30" customHeight="1">
      <c r="A9" s="6" t="inlineStr">
        <is>
          <t>ID</t>
        </is>
      </c>
      <c r="B9" s="6" t="inlineStr">
        <is>
          <t>Tiêu đề</t>
        </is>
      </c>
      <c r="C9" s="6" t="inlineStr">
        <is>
          <t>Tên Sản Phẩm</t>
        </is>
      </c>
      <c r="D9" s="6" t="inlineStr">
        <is>
          <t>Giá Sản Phẩm</t>
        </is>
      </c>
      <c r="E9" s="6" t="inlineStr">
        <is>
          <t>Loại Kiểm Thử Biên</t>
        </is>
      </c>
      <c r="F9" s="6" t="inlineStr">
        <is>
          <t>Kết quả mong đợi</t>
        </is>
      </c>
      <c r="G9" s="6" t="inlineStr">
        <is>
          <t>Bao phủ</t>
        </is>
      </c>
      <c r="H9" s="6" t="inlineStr">
        <is>
          <t>Truy vết yêu cầu</t>
        </is>
      </c>
      <c r="I9" s="6" t="inlineStr">
        <is>
          <t>Ưu tiên</t>
        </is>
      </c>
      <c r="J9" s="6" t="inlineStr">
        <is>
          <t>Kết quả thực tế</t>
        </is>
      </c>
      <c r="K9" s="6" t="inlineStr">
        <is>
          <t>Trạng thái</t>
        </is>
      </c>
      <c r="L9" s="6" t="inlineStr">
        <is>
          <t>Mã lỗi</t>
        </is>
      </c>
    </row>
    <row r="10" ht="46" customHeight="1">
      <c r="A10" s="5" t="inlineStr">
        <is>
          <t>TC-ADM-PROD-010</t>
        </is>
      </c>
      <c r="B10" s="3" t="inlineStr">
        <is>
          <t>Kiểm tra giá sản phẩm khi nhập giá trị 0 ₫ (ngay dưới biên dương)</t>
        </is>
      </c>
      <c r="C10" s="7" t="inlineStr">
        <is>
          <t>Sản phẩm Test Giá 0</t>
        </is>
      </c>
      <c r="D10" s="7" t="inlineStr">
        <is>
          <t>0</t>
        </is>
      </c>
      <c r="E10" s="7" t="inlineStr">
        <is>
          <t>Boundary (price = 0)</t>
        </is>
      </c>
      <c r="F10" s="3" t="inlineStr">
        <is>
          <t>Từ chối lưu sản phẩm; hiển thị thông báo lỗi yêu cầu giá phải là số dương lớn hơn 0</t>
        </is>
      </c>
      <c r="G10" s="3" t="inlineStr">
        <is>
          <t>Biên dưới không hợp lệ của giá sản phẩm (FR-15)</t>
        </is>
      </c>
      <c r="H10" s="3" t="inlineStr">
        <is>
          <t>FR-15</t>
        </is>
      </c>
      <c r="I10" s="3" t="inlineStr">
        <is>
          <t>High</t>
        </is>
      </c>
      <c r="J10" s="3" t="inlineStr"/>
      <c r="K10" s="7" t="inlineStr">
        <is>
          <t>Not run</t>
        </is>
      </c>
      <c r="L10" s="3" t="inlineStr"/>
    </row>
    <row r="11" ht="46" customHeight="1">
      <c r="A11" s="11" t="inlineStr">
        <is>
          <t>TC-ADM-PROD-011</t>
        </is>
      </c>
      <c r="B11" s="12" t="inlineStr">
        <is>
          <t>Kiểm tra giá sản phẩm khi nhập giá trị 1 ₫ (chính xác trên biên dương tối thiểu)</t>
        </is>
      </c>
      <c r="C11" s="13" t="inlineStr">
        <is>
          <t>Sản phẩm Test Giá 1</t>
        </is>
      </c>
      <c r="D11" s="13" t="inlineStr">
        <is>
          <t>1</t>
        </is>
      </c>
      <c r="E11" s="13" t="inlineStr">
        <is>
          <t>Boundary (price = 1)</t>
        </is>
      </c>
      <c r="F11" s="12" t="inlineStr">
        <is>
          <t>Lưu sản phẩm thành công; sản phẩm được tạo trong CSDL với giá 1 ₫</t>
        </is>
      </c>
      <c r="G11" s="12" t="inlineStr">
        <is>
          <t>Biên dưới hợp lệ của giá sản phẩm (FR-15)</t>
        </is>
      </c>
      <c r="H11" s="12" t="inlineStr">
        <is>
          <t>FR-15</t>
        </is>
      </c>
      <c r="I11" s="12" t="inlineStr">
        <is>
          <t>High</t>
        </is>
      </c>
      <c r="J11" s="12" t="inlineStr"/>
      <c r="K11" s="13" t="inlineStr">
        <is>
          <t>Not run</t>
        </is>
      </c>
      <c r="L11" s="12" t="inlineStr"/>
    </row>
    <row r="12" ht="32" customHeight="1">
      <c r="A12" s="5" t="inlineStr">
        <is>
          <t>TC-ADM-PROD-012</t>
        </is>
      </c>
      <c r="B12" s="3" t="inlineStr">
        <is>
          <t>Kiểm tra giá sản phẩm khi nhập số âm (-50.000 ₫)</t>
        </is>
      </c>
      <c r="C12" s="7" t="inlineStr">
        <is>
          <t>Sản phẩm Giá Âm</t>
        </is>
      </c>
      <c r="D12" s="7" t="inlineStr">
        <is>
          <t>-50000</t>
        </is>
      </c>
      <c r="E12" s="7" t="inlineStr">
        <is>
          <t>Equivalence Partitioning (Negative)</t>
        </is>
      </c>
      <c r="F12" s="3" t="inlineStr">
        <is>
          <t>Từ chối lưu sản phẩm; báo lỗi giá không được là số âm</t>
        </is>
      </c>
      <c r="G12" s="3" t="inlineStr">
        <is>
          <t>Lớp không hợp lệ số âm của giá sản phẩm (FR-15)</t>
        </is>
      </c>
      <c r="H12" s="3" t="inlineStr">
        <is>
          <t>FR-15</t>
        </is>
      </c>
      <c r="I12" s="3" t="inlineStr">
        <is>
          <t>High</t>
        </is>
      </c>
      <c r="J12" s="3" t="inlineStr"/>
      <c r="K12" s="7" t="inlineStr">
        <is>
          <t>Not run</t>
        </is>
      </c>
      <c r="L12" s="3" t="inlineStr"/>
    </row>
    <row r="13" ht="46" customHeight="1">
      <c r="A13" s="11" t="inlineStr">
        <is>
          <t>TC-ADM-PROD-013</t>
        </is>
      </c>
      <c r="B13" s="12" t="inlineStr">
        <is>
          <t>Kiểm tra tên sản phẩm có độ dài chính xác 255 ký tự (trên biên trên tối đa)</t>
        </is>
      </c>
      <c r="C13" s="13" t="inlineStr">
        <is>
          <t>SP_255_CHARACTERS_VALID_EXACTLY_MAX_LENGTH_AAAAA_BBBBB_CCCCC_DDDDD_EEEEE_FFFFF_GGGGG_HHHHH_IIIII_JJJJJ_KKKKK_LLLLL_MMMMM_NNNNN_OOOOO_PPPPP_QQQQQ_RRRRR_SSSSS_TTTTT_UUUUU_VVVVV_WWWWW_XXXXX_YYYYY_ZZZZZ_11111_22222_33333_44444_55555_66666_77777_88888_99999_00000_END</t>
        </is>
      </c>
      <c r="D13" s="13" t="inlineStr">
        <is>
          <t>100000</t>
        </is>
      </c>
      <c r="E13" s="13" t="inlineStr">
        <is>
          <t>Boundary (length = 255)</t>
        </is>
      </c>
      <c r="F13" s="12" t="inlineStr">
        <is>
          <t>Lưu sản phẩm thành công với đầy đủ chuỗi tên 255 ký tự</t>
        </is>
      </c>
      <c r="G13" s="12" t="inlineStr">
        <is>
          <t>Biên trên tối đa (Boundary) của độ dài tên sản phẩm (FR-15)</t>
        </is>
      </c>
      <c r="H13" s="12" t="inlineStr">
        <is>
          <t>FR-15</t>
        </is>
      </c>
      <c r="I13" s="12" t="inlineStr">
        <is>
          <t>High</t>
        </is>
      </c>
      <c r="J13" s="12" t="inlineStr"/>
      <c r="K13" s="13" t="inlineStr">
        <is>
          <t>Not run</t>
        </is>
      </c>
      <c r="L13" s="12" t="inlineStr"/>
    </row>
    <row r="14" ht="46" customHeight="1">
      <c r="A14" s="5" t="inlineStr">
        <is>
          <t>TC-ADM-PROD-014</t>
        </is>
      </c>
      <c r="B14" s="3" t="inlineStr">
        <is>
          <t>Kiểm tra tên sản phẩm khi độ dài vượt quá 255 ký tự (256 ký tự)</t>
        </is>
      </c>
      <c r="C14" s="7" t="inlineStr">
        <is>
          <t>SP_256_CHARACTERS_INVALID_EXCEED_MAX_LENGTH_AAAAA_BBBBB_CCCCC_DDDDD_EEEEE_FFFFF_GGGGG_HHHHH_IIIII_JJJJJ_KKKKK_LLLLL_MMMMM_NNNNN_OOOOO_PPPPP_QQQQQ_RRRRR_SSSSS_TTTTT_UUUUU_VVVVV_WWWWW_XXXXX_YYYYY_ZZZZZ_11111_22222_33333_44444_55555_66666_77777_88888_99999_00000_OVER</t>
        </is>
      </c>
      <c r="D14" s="7" t="inlineStr">
        <is>
          <t>100000</t>
        </is>
      </c>
      <c r="E14" s="7" t="inlineStr">
        <is>
          <t>Boundary (length = 256)</t>
        </is>
      </c>
      <c r="F14" s="3" t="inlineStr">
        <is>
          <t>Từ chối lưu sản phẩm; thông báo lỗi: 'Tên sản phẩm tối đa 255 ký tự'</t>
        </is>
      </c>
      <c r="G14" s="3" t="inlineStr">
        <is>
          <t>Biên trên vượt ngưỡng (Boundary + 1) của độ dài tên sản phẩm (FR-15)</t>
        </is>
      </c>
      <c r="H14" s="3" t="inlineStr">
        <is>
          <t>FR-15</t>
        </is>
      </c>
      <c r="I14" s="3" t="inlineStr">
        <is>
          <t>High</t>
        </is>
      </c>
      <c r="J14" s="3" t="inlineStr"/>
      <c r="K14" s="7" t="inlineStr">
        <is>
          <t>Not run</t>
        </is>
      </c>
      <c r="L14" s="3" t="inlineStr"/>
    </row>
  </sheetData>
  <autoFilter ref="A9:L14"/>
  <conditionalFormatting sqref="K10:K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K10:K1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90" customHeight="1">
      <c r="A1" s="6" t="inlineStr">
        <is>
          <t>Mã yêu cầu</t>
        </is>
      </c>
      <c r="B1" s="6" t="inlineStr">
        <is>
          <t>Nội dung yêu cầu</t>
        </is>
      </c>
      <c r="C1" s="6" t="inlineStr">
        <is>
          <t>#TC</t>
        </is>
      </c>
      <c r="D1" s="22" t="inlineStr">
        <is>
          <t>TC-PROD-001</t>
        </is>
      </c>
      <c r="E1" s="22" t="inlineStr">
        <is>
          <t>TC-PROD-002</t>
        </is>
      </c>
      <c r="F1" s="22" t="inlineStr">
        <is>
          <t>TC-PROD-010</t>
        </is>
      </c>
      <c r="G1" s="22" t="inlineStr">
        <is>
          <t>TC-PROD-011</t>
        </is>
      </c>
      <c r="H1" s="22" t="inlineStr">
        <is>
          <t>TC-PROD-012</t>
        </is>
      </c>
      <c r="I1" s="22" t="inlineStr">
        <is>
          <t>TC-PROD-013</t>
        </is>
      </c>
      <c r="J1" s="22" t="inlineStr">
        <is>
          <t>TC-ORDER-001</t>
        </is>
      </c>
      <c r="K1" s="22" t="inlineStr">
        <is>
          <t>TC-ORDER-002</t>
        </is>
      </c>
      <c r="L1" s="22" t="inlineStr">
        <is>
          <t>TC-ORDER-003</t>
        </is>
      </c>
      <c r="M1" s="22" t="inlineStr">
        <is>
          <t>TC-ADM-PROD-001</t>
        </is>
      </c>
      <c r="N1" s="22" t="inlineStr">
        <is>
          <t>TC-ADM-PROD-002</t>
        </is>
      </c>
      <c r="O1" s="22" t="inlineStr">
        <is>
          <t>TC-ADM-PROD-010</t>
        </is>
      </c>
      <c r="P1" s="22" t="inlineStr">
        <is>
          <t>TC-ADM-PROD-011</t>
        </is>
      </c>
      <c r="Q1" s="22" t="inlineStr">
        <is>
          <t>TC-ADM-PROD-012</t>
        </is>
      </c>
      <c r="R1" s="22" t="inlineStr">
        <is>
          <t>TC-ADM-PROD-013</t>
        </is>
      </c>
      <c r="S1" s="22" t="inlineStr">
        <is>
          <t>TC-ADM-PROD-014</t>
        </is>
      </c>
      <c r="T1" s="22" t="inlineStr">
        <is>
          <t>TC-MOB-ORD-001</t>
        </is>
      </c>
      <c r="U1" s="22" t="inlineStr">
        <is>
          <t>TC-MOB-ORD-002</t>
        </is>
      </c>
      <c r="V1" s="22" t="inlineStr">
        <is>
          <t>TC-MOB-ORD-003</t>
        </is>
      </c>
      <c r="W1" s="22" t="inlineStr">
        <is>
          <t>TC-MOB-ORD-004</t>
        </is>
      </c>
    </row>
    <row r="2" ht="60" customHeight="1">
      <c r="A2" s="5" t="inlineStr">
        <is>
          <t>FR-06</t>
        </is>
      </c>
      <c r="B2" s="3" t="inlineStr">
        <is>
          <t>Xem chi tiết sản phẩm: Hiển thị ảnh lớn, tên, giá ₫, mô tả, danh mục; ô nhập số lượng là số nguyên dương &gt;= 1; nút Thêm vào giỏ có phản hồi trực quan (toast/badge); có breadcrumb điều hướng.</t>
        </is>
      </c>
      <c r="C2" s="7">
        <f>COUNTIF(D2:W2,"X")</f>
        <v/>
      </c>
      <c r="D2" s="7" t="inlineStr">
        <is>
          <t>X</t>
        </is>
      </c>
      <c r="E2" s="7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>
        <is>
          <t>X</t>
        </is>
      </c>
      <c r="I2" s="7" t="inlineStr">
        <is>
          <t>X</t>
        </is>
      </c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  <row r="3" ht="60" customHeight="1">
      <c r="A3" s="5" t="inlineStr">
        <is>
          <t>FR-11</t>
        </is>
      </c>
      <c r="B3" s="3" t="inlineStr">
        <is>
          <t>Xem lịch sử đơn hàng (User): Chỉ xem đơn của chính mình; hiển thị mã đơn, ngày đặt, tổng tiền, trạng thái tiếng Việt phân biệt màu sắc; quy tắc hủy đơn tuân thủ máy trạng thái FR-10.</t>
        </is>
      </c>
      <c r="C3" s="7">
        <f>COUNTIF(D3:W3,"X")</f>
        <v/>
      </c>
      <c r="D3" s="7" t="inlineStr"/>
      <c r="E3" s="7" t="inlineStr"/>
      <c r="F3" s="7" t="inlineStr"/>
      <c r="G3" s="7" t="inlineStr"/>
      <c r="H3" s="7" t="inlineStr"/>
      <c r="I3" s="7" t="inlineStr"/>
      <c r="J3" s="7" t="inlineStr">
        <is>
          <t>X</t>
        </is>
      </c>
      <c r="K3" s="7" t="inlineStr">
        <is>
          <t>X</t>
        </is>
      </c>
      <c r="L3" s="7" t="inlineStr">
        <is>
          <t>X</t>
        </is>
      </c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 ht="60" customHeight="1">
      <c r="A4" s="5" t="inlineStr">
        <is>
          <t>FR-15</t>
        </is>
      </c>
      <c r="B4" s="3" t="inlineStr">
        <is>
          <t>Quản lý sản phẩm (Product CRUD - Admin): Thêm/Sửa/Xóa sản phẩm; tên bắt buộc tối đa 255 ký tự; giá bắt buộc là số dương &gt; 0; danh mục bắt buộc; sửa 1 sản phẩm không làm đổi sản phẩm khác.</t>
        </is>
      </c>
      <c r="C4" s="7">
        <f>COUNTIF(D4:W4,"X")</f>
        <v/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>
        <is>
          <t>X</t>
        </is>
      </c>
      <c r="N4" s="7" t="inlineStr">
        <is>
          <t>X</t>
        </is>
      </c>
      <c r="O4" s="7" t="inlineStr">
        <is>
          <t>X</t>
        </is>
      </c>
      <c r="P4" s="7" t="inlineStr">
        <is>
          <t>X</t>
        </is>
      </c>
      <c r="Q4" s="7" t="inlineStr">
        <is>
          <t>X</t>
        </is>
      </c>
      <c r="R4" s="7" t="inlineStr">
        <is>
          <t>X</t>
        </is>
      </c>
      <c r="S4" s="7" t="inlineStr">
        <is>
          <t>X</t>
        </is>
      </c>
      <c r="T4" s="7" t="inlineStr"/>
      <c r="U4" s="7" t="inlineStr"/>
      <c r="V4" s="7" t="inlineStr"/>
      <c r="W4" s="7" t="inlineStr"/>
    </row>
    <row r="5" ht="60" customHeight="1">
      <c r="A5" s="5" t="inlineStr">
        <is>
          <t>FR-20</t>
        </is>
      </c>
      <c r="B5" s="3" t="inlineStr">
        <is>
          <t>Ứng dụng Di Động (Mobile App): Trải nghiệm xem lịch sử đơn hàng trên React Native Expo; xử lý mất mạng/timeout, vuốt làm mới, đồng bộ trạng thái đơn và ẩn nút hủy khi đơn ở shipping.</t>
        </is>
      </c>
      <c r="C5" s="7">
        <f>COUNTIF(D5:W5,"X")</f>
        <v/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>
        <is>
          <t>X</t>
        </is>
      </c>
      <c r="U5" s="7" t="inlineStr">
        <is>
          <t>X</t>
        </is>
      </c>
      <c r="V5" s="7" t="inlineStr">
        <is>
          <t>X</t>
        </is>
      </c>
      <c r="W5" s="7" t="inlineStr">
        <is>
          <t>X</t>
        </is>
      </c>
    </row>
  </sheetData>
  <conditionalFormatting sqref="C2:C5">
    <cfRule type="cellIs" priority="1" operator="equal" dxfId="1">
      <formula>0</formula>
    </cfRule>
  </conditionalFormatting>
  <conditionalFormatting sqref="D2:W5">
    <cfRule type="cellIs" priority="2" operator="equal" dxfId="3">
      <formula>"X"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6" customWidth="1" min="11" max="11"/>
    <col width="9" customWidth="1" min="12" max="12"/>
    <col width="40" customWidth="1" min="13" max="13"/>
    <col width="40" customWidth="1" min="14" max="14"/>
  </cols>
  <sheetData>
    <row r="1" ht="30" customHeight="1">
      <c r="A1" s="6" t="inlineStr">
        <is>
          <t>ID</t>
        </is>
      </c>
      <c r="B1" s="6" t="inlineStr">
        <is>
          <t>Chính xác</t>
        </is>
      </c>
      <c r="C1" s="6" t="inlineStr">
        <is>
          <t>Tiết kiệm</t>
        </is>
      </c>
      <c r="D1" s="6" t="inlineStr">
        <is>
          <t>Lặp lại được</t>
        </is>
      </c>
      <c r="E1" s="6" t="inlineStr">
        <is>
          <t>Truy vết được</t>
        </is>
      </c>
      <c r="F1" s="6" t="inlineStr">
        <is>
          <t>Phù hợp</t>
        </is>
      </c>
      <c r="G1" s="6" t="inlineStr">
        <is>
          <t>Độc lập</t>
        </is>
      </c>
      <c r="H1" s="6" t="inlineStr">
        <is>
          <t>Tự dọn dẹp</t>
        </is>
      </c>
      <c r="I1" s="6" t="inlineStr">
        <is>
          <t>Tổng /14</t>
        </is>
      </c>
      <c r="J1" s="6" t="inlineStr">
        <is>
          <t>Kết luận</t>
        </is>
      </c>
      <c r="K1" s="6" t="inlineStr">
        <is>
          <t>Loại lỗi</t>
        </is>
      </c>
      <c r="L1" s="6" t="inlineStr">
        <is>
          <t>Mức độ</t>
        </is>
      </c>
      <c r="M1" s="6" t="inlineStr">
        <is>
          <t>Mô tả</t>
        </is>
      </c>
      <c r="N1" s="6" t="inlineStr">
        <is>
          <t>Cách sửa</t>
        </is>
      </c>
    </row>
    <row r="2" ht="18" customHeight="1">
      <c r="A2" s="5" t="inlineStr">
        <is>
          <t>TC-PROD-002</t>
        </is>
      </c>
      <c r="B2" s="7" t="n">
        <v>2</v>
      </c>
      <c r="C2" s="7" t="n">
        <v>2</v>
      </c>
      <c r="D2" s="7" t="n">
        <v>2</v>
      </c>
      <c r="E2" s="7" t="n">
        <v>2</v>
      </c>
      <c r="F2" s="7" t="n">
        <v>2</v>
      </c>
      <c r="G2" s="7" t="n">
        <v>2</v>
      </c>
      <c r="H2" s="7" t="n">
        <v>2</v>
      </c>
      <c r="I2" s="7">
        <f>SUM(B2:H2)</f>
        <v/>
      </c>
      <c r="J2" s="7" t="inlineStr">
        <is>
          <t>Accept</t>
        </is>
      </c>
      <c r="K2" s="3" t="inlineStr"/>
      <c r="L2" s="7" t="inlineStr"/>
      <c r="M2" s="3" t="inlineStr"/>
      <c r="N2" s="3" t="inlineStr"/>
    </row>
    <row r="3" ht="18" customHeight="1">
      <c r="A3" s="5" t="inlineStr">
        <is>
          <t>TC-ORDER-003</t>
        </is>
      </c>
      <c r="B3" s="7" t="n">
        <v>2</v>
      </c>
      <c r="C3" s="7" t="n">
        <v>2</v>
      </c>
      <c r="D3" s="7" t="n">
        <v>2</v>
      </c>
      <c r="E3" s="7" t="n">
        <v>2</v>
      </c>
      <c r="F3" s="7" t="n">
        <v>2</v>
      </c>
      <c r="G3" s="7" t="n">
        <v>2</v>
      </c>
      <c r="H3" s="7" t="n">
        <v>2</v>
      </c>
      <c r="I3" s="7">
        <f>SUM(B3:H3)</f>
        <v/>
      </c>
      <c r="J3" s="7" t="inlineStr">
        <is>
          <t>Accept</t>
        </is>
      </c>
      <c r="K3" s="3" t="inlineStr"/>
      <c r="L3" s="7" t="inlineStr"/>
      <c r="M3" s="3" t="inlineStr"/>
      <c r="N3" s="3" t="inlineStr"/>
    </row>
    <row r="4" ht="18" customHeight="1">
      <c r="A4" s="5" t="inlineStr">
        <is>
          <t>TC-ADM-PROD-002</t>
        </is>
      </c>
      <c r="B4" s="7" t="n">
        <v>2</v>
      </c>
      <c r="C4" s="7" t="n">
        <v>2</v>
      </c>
      <c r="D4" s="7" t="n">
        <v>2</v>
      </c>
      <c r="E4" s="7" t="n">
        <v>2</v>
      </c>
      <c r="F4" s="7" t="n">
        <v>2</v>
      </c>
      <c r="G4" s="7" t="n">
        <v>2</v>
      </c>
      <c r="H4" s="7" t="n">
        <v>2</v>
      </c>
      <c r="I4" s="7">
        <f>SUM(B4:H4)</f>
        <v/>
      </c>
      <c r="J4" s="7" t="inlineStr">
        <is>
          <t>Accept</t>
        </is>
      </c>
      <c r="K4" s="3" t="inlineStr"/>
      <c r="L4" s="7" t="inlineStr"/>
      <c r="M4" s="3" t="inlineStr"/>
      <c r="N4" s="3" t="inlineStr"/>
    </row>
    <row r="5" ht="18" customHeight="1">
      <c r="A5" s="5" t="inlineStr">
        <is>
          <t>TC-MOB-ORD-003</t>
        </is>
      </c>
      <c r="B5" s="7" t="n">
        <v>2</v>
      </c>
      <c r="C5" s="7" t="n">
        <v>2</v>
      </c>
      <c r="D5" s="7" t="n">
        <v>2</v>
      </c>
      <c r="E5" s="7" t="n">
        <v>2</v>
      </c>
      <c r="F5" s="7" t="n">
        <v>2</v>
      </c>
      <c r="G5" s="7" t="n">
        <v>2</v>
      </c>
      <c r="H5" s="7" t="n">
        <v>2</v>
      </c>
      <c r="I5" s="7">
        <f>SUM(B5:H5)</f>
        <v/>
      </c>
      <c r="J5" s="7" t="inlineStr">
        <is>
          <t>Accept</t>
        </is>
      </c>
      <c r="K5" s="3" t="inlineStr"/>
      <c r="L5" s="7" t="inlineStr"/>
      <c r="M5" s="3" t="inlineStr"/>
      <c r="N5" s="3" t="inlineStr"/>
    </row>
    <row r="8">
      <c r="A8" s="4" t="inlineStr">
        <is>
          <t>Đối chiếu kết quả review của AI</t>
        </is>
      </c>
    </row>
    <row r="9">
      <c r="K9" s="23" t="inlineStr">
        <is>
          <t>AI bỏ sót</t>
        </is>
      </c>
      <c r="M9" s="23" t="inlineStr">
        <is>
          <t>Lỗi xác nhận</t>
        </is>
      </c>
      <c r="N9" s="23" t="inlineStr">
        <is>
          <t>AI báo sai (false positive)</t>
        </is>
      </c>
    </row>
    <row r="10">
      <c r="K10" s="3" t="inlineStr">
        <is>
          <t>AI ban đầu bỏ sót việc kiểm tra thuộc tính Breadcrumb theo quy định FR-23 tại trang chi tiết sản phẩm</t>
        </is>
      </c>
      <c r="M10" s="3" t="inlineStr">
        <is>
          <t>Xác nhận lỗi click đúp trong ProductDetail.jsx (clickCount === 0 return)</t>
        </is>
      </c>
      <c r="N10" s="3" t="inlineStr">
        <is>
          <t>AI trước đó cho rằng ô số lượng có thể nhập chữ — thực tế input type='number' của trình duyệt chặn phần lớn ký tự chữ, nhưng vẫn cho nhập dấu trừ và số e</t>
        </is>
      </c>
    </row>
    <row r="11">
      <c r="K11" s="3" t="inlineStr"/>
      <c r="M11" s="3" t="inlineStr">
        <is>
          <t>Xác nhận lỗi Web cho phép hủy đơn shipping trong Profile.jsx và server.js</t>
        </is>
      </c>
      <c r="N11" s="3" t="inlineStr"/>
    </row>
    <row r="12">
      <c r="K12" s="3" t="inlineStr"/>
      <c r="M12" s="3" t="inlineStr">
        <is>
          <t>Xác nhận lỗi mass-update trong frontend-admin/src/App.jsx đổi tên toàn bộ sản phẩm</t>
        </is>
      </c>
      <c r="N12" s="3" t="inlineStr"/>
    </row>
    <row r="13">
      <c r="K13" s="3" t="inlineStr"/>
      <c r="M13" s="3" t="inlineStr">
        <is>
          <t>Xác nhận lỗi Mobile nuốt ngoại lệ mạng thành danh sách đơn rỗng trong App.js</t>
        </is>
      </c>
      <c r="N13" s="3" t="inlineStr"/>
    </row>
  </sheetData>
  <conditionalFormatting sqref="B2:H5">
    <cfRule type="cellIs" priority="1" operator="equal" dxfId="1">
      <formula>0</formula>
    </cfRule>
    <cfRule type="cellIs" priority="2" operator="equal" dxfId="2">
      <formula>1</formula>
    </cfRule>
    <cfRule type="cellIs" priority="3" operator="equal" dxfId="0">
      <formula>2</formula>
    </cfRule>
  </conditionalFormatting>
  <dataValidations count="1">
    <dataValidation sqref="B2:H5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40" customWidth="1" min="4" max="4"/>
  </cols>
  <sheetData>
    <row r="1" ht="30" customHeight="1">
      <c r="A1" s="6" t="inlineStr">
        <is>
          <t>#</t>
        </is>
      </c>
      <c r="B1" s="6" t="inlineStr">
        <is>
          <t>Tiêu chí</t>
        </is>
      </c>
      <c r="C1" s="6" t="inlineStr">
        <is>
          <t>Kết quả</t>
        </is>
      </c>
      <c r="D1" s="6" t="inlineStr">
        <is>
          <t>Ghi chú</t>
        </is>
      </c>
    </row>
    <row r="2" ht="32" customHeight="1">
      <c r="A2" s="7" t="n">
        <v>1</v>
      </c>
      <c r="B2" s="3" t="inlineStr">
        <is>
          <t>Đạt 7 thuộc tính: chính xác, tiết kiệm, lặp lại được, truy vết được, phù hợp, độc lập, tự dọn dẹp</t>
        </is>
      </c>
      <c r="C2" s="7" t="inlineStr"/>
      <c r="D2" s="3" t="inlineStr"/>
    </row>
    <row r="3" ht="18" customHeight="1">
      <c r="A3" s="7" t="n">
        <v>2</v>
      </c>
      <c r="B3" s="3" t="inlineStr">
        <is>
          <t>Có mã/tên và mục đích gắn với yêu cầu</t>
        </is>
      </c>
      <c r="C3" s="7" t="inlineStr"/>
      <c r="D3" s="3" t="inlineStr"/>
    </row>
    <row r="4" ht="18" customHeight="1">
      <c r="A4" s="7" t="n">
        <v>3</v>
      </c>
      <c r="B4" s="3" t="inlineStr">
        <is>
          <t>Mô tả đủ thiết lập: môi trường, dữ liệu, tiền điều kiện, quyền truy cập</t>
        </is>
      </c>
      <c r="C4" s="7" t="inlineStr"/>
      <c r="D4" s="3" t="inlineStr"/>
    </row>
    <row r="5" ht="18" customHeight="1">
      <c r="A5" s="7" t="n">
        <v>4</v>
      </c>
      <c r="B5" s="3" t="inlineStr">
        <is>
          <t>Mọi hành động đều có kết quả mong đợi; ghi bằng chứng khi cần</t>
        </is>
      </c>
      <c r="C5" s="7" t="inlineStr"/>
      <c r="D5" s="3" t="inlineStr"/>
    </row>
    <row r="6" ht="18" customHeight="1">
      <c r="A6" s="7" t="n">
        <v>5</v>
      </c>
      <c r="B6" s="3" t="inlineStr">
        <is>
          <t>Câu chủ động; ≤ 15 bước; ma trận chạy ≤ 20 phút</t>
        </is>
      </c>
      <c r="C6" s="7" t="inlineStr"/>
      <c r="D6" s="3" t="inlineStr"/>
    </row>
    <row r="7" ht="18" customHeight="1">
      <c r="A7" s="7" t="n">
        <v>6</v>
      </c>
      <c r="B7" s="3" t="inlineStr">
        <is>
          <t>Thứ tự đúng theo kịch bản nghiệp vụ so với các test khác</t>
        </is>
      </c>
      <c r="C7" s="7" t="inlineStr"/>
      <c r="D7" s="3" t="inlineStr"/>
    </row>
    <row r="8" ht="18" customHeight="1">
      <c r="A8" s="7" t="n">
        <v>7</v>
      </c>
      <c r="B8" s="3" t="inlineStr">
        <is>
          <t>Theo đúng quy ước đặt tên/đánh số; có phiên bản ứng với phần mềm được test</t>
        </is>
      </c>
      <c r="C8" s="7" t="inlineStr"/>
      <c r="D8" s="3" t="inlineStr"/>
    </row>
    <row r="9" ht="18" customHeight="1">
      <c r="A9" s="7" t="n">
        <v>8</v>
      </c>
      <c r="B9" s="3" t="inlineStr">
        <is>
          <t>Được lưu trữ có kiểm soát truy cập và sao lưu (quản lý cấu hình)</t>
        </is>
      </c>
      <c r="C9" s="7" t="inlineStr"/>
      <c r="D9" s="3" t="inlineStr"/>
    </row>
  </sheetData>
  <dataValidations count="1">
    <dataValidation sqref="C2:C9" showDropDown="0" showInputMessage="0" showErrorMessage="0" allowBlank="1" type="list">
      <formula1>"Có,Không,Một phần"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2026-10-17T08:44:08Z</dcterms:created>
  <dcterms:modified xmlns:dcterms="http://purl.org/dc/terms/" xmlns:xsi="http://www.w3.org/2001/XMLSchema-instance" xsi:type="dcterms:W3CDTF">2026-10-17T08:44:09Z</dcterms:modified>
</cp:coreProperties>
</file>